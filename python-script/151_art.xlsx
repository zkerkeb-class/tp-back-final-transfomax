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Kanto 151" sheetId="1" r:id="rId5"/>
    <sheet state="visible" name="Binder View" sheetId="2" r:id="rId6"/>
    <sheet state="visible" name="Alt. Releases" sheetId="3" r:id="rId7"/>
  </sheets>
  <definedNames>
    <definedName name="beedrilljp">'Kanto 151'!$B$16</definedName>
    <definedName name="image038jp">'Kanto 151'!$N$39</definedName>
    <definedName localSheetId="2" name="gloomjp">#REF!</definedName>
    <definedName localSheetId="2" name="weedlejp">#REF!</definedName>
    <definedName localSheetId="2" name="moltres">#REF!</definedName>
    <definedName localSheetId="2" name="sandslashjp">#REF!</definedName>
    <definedName name="persianjp">'Kanto 151'!$B$54</definedName>
    <definedName localSheetId="2" name="hypno">#REF!</definedName>
    <definedName localSheetId="2" name="poliwagjp">#REF!</definedName>
    <definedName name="golduck">'Kanto 151'!$A$56</definedName>
    <definedName localSheetId="2" name="zapdosjp">#REF!</definedName>
    <definedName name="image111jp">'Kanto 151'!$N$112</definedName>
    <definedName name="image020">'Kanto 151'!$M$21</definedName>
    <definedName localSheetId="2" name="image032">#REF!</definedName>
    <definedName name="shellder">'Kanto 151'!$A$91</definedName>
    <definedName localSheetId="2" name="image087">#REF!</definedName>
    <definedName name="image106">'Kanto 151'!$M$107</definedName>
    <definedName localSheetId="2" name="zapdos">#REF!</definedName>
    <definedName name="geodudejp">'Kanto 151'!$B$75</definedName>
    <definedName localSheetId="2" name="image039">#REF!</definedName>
    <definedName name="nidoranmjp">'Kanto 151'!$B$33</definedName>
    <definedName name="image021">'Kanto 151'!$M$22</definedName>
    <definedName name="image145">'Kanto 151'!$M$146</definedName>
    <definedName name="image083jp">'Kanto 151'!$N$84</definedName>
    <definedName name="drowzeejp">'Kanto 151'!$B$97</definedName>
    <definedName localSheetId="2" name="image091">#REF!</definedName>
    <definedName name="alakazamjp">'Kanto 151'!$B$66</definedName>
    <definedName name="image023jp">'Kanto 151'!$N$24</definedName>
    <definedName name="jigglypuff">'Kanto 151'!$A$40</definedName>
    <definedName name="electabuzzjp">'Kanto 151'!$B$126</definedName>
    <definedName localSheetId="2" name="image074jp">#REF!</definedName>
    <definedName name="weepinbell">'Kanto 151'!$A$71</definedName>
    <definedName name="image010jp">'Kanto 151'!$N$11</definedName>
    <definedName localSheetId="2" name="image091jp">#REF!</definedName>
    <definedName localSheetId="2" name="charizardjp">#REF!</definedName>
    <definedName name="image090">'Kanto 151'!$M$91</definedName>
    <definedName localSheetId="2" name="metapodjp">#REF!</definedName>
    <definedName name="image117">'Kanto 151'!$M$118</definedName>
    <definedName localSheetId="2" name="image040jp">#REF!</definedName>
    <definedName localSheetId="2" name="image087jp">#REF!</definedName>
    <definedName localSheetId="2" name="gloom">#REF!</definedName>
    <definedName name="image145jp">'Kanto 151'!$N$146</definedName>
    <definedName localSheetId="2" name="jynxjp">#REF!</definedName>
    <definedName localSheetId="2" name="image002">#REF!</definedName>
    <definedName localSheetId="2" name="image077">#REF!</definedName>
    <definedName localSheetId="2" name="image117jp">#REF!</definedName>
    <definedName localSheetId="2" name="mewtwojp">#REF!</definedName>
    <definedName name="doduo">'Kanto 151'!$A$85</definedName>
    <definedName name="image148">'Kanto 151'!$M$149</definedName>
    <definedName localSheetId="2" name="image069">#REF!</definedName>
    <definedName localSheetId="2" name="image033jp">#REF!</definedName>
    <definedName name="magmar">'Kanto 151'!$A$127</definedName>
    <definedName name="dewgong">'Kanto 151'!$A$88</definedName>
    <definedName name="image110">'Kanto 151'!$M$111</definedName>
    <definedName localSheetId="2" name="image088">#REF!</definedName>
    <definedName localSheetId="2" name="squirtle">#REF!</definedName>
    <definedName name="image103">'Kanto 151'!$M$104</definedName>
    <definedName name="dugtriojp">'Kanto 151'!$B$52</definedName>
    <definedName name="image016">'Kanto 151'!$M$17</definedName>
    <definedName localSheetId="2" name="poliwhirl">#REF!</definedName>
    <definedName localSheetId="2" name="rapidash">#REF!</definedName>
    <definedName localSheetId="2" name="image100jp">#REF!</definedName>
    <definedName localSheetId="2" name="image048jp">#REF!</definedName>
    <definedName localSheetId="2" name="ekans">#REF!</definedName>
    <definedName localSheetId="2" name="goldeen">#REF!</definedName>
    <definedName localSheetId="2" name="image073">#REF!</definedName>
    <definedName name="tauros">'Kanto 151'!$A$129</definedName>
    <definedName name="goldeenjp">'Kanto 151'!$B$119</definedName>
    <definedName name="marowakjp">'Kanto 151'!$B$106</definedName>
    <definedName localSheetId="2" name="slowpokejp">#REF!</definedName>
    <definedName name="krabby">'Kanto 151'!$A$99</definedName>
    <definedName name="image060">'Kanto 151'!$M$61</definedName>
    <definedName name="blastoise">'Kanto 151'!$A$10</definedName>
    <definedName localSheetId="2" name="venonatjp">#REF!</definedName>
    <definedName localSheetId="2" name="iamge076jp">#REF!</definedName>
    <definedName localSheetId="2" name="image055">#REF!</definedName>
    <definedName localSheetId="2" name="image038">#REF!</definedName>
    <definedName name="golbatjp">'Kanto 151'!$B$43</definedName>
    <definedName localSheetId="2" name="meowthjp">#REF!</definedName>
    <definedName localSheetId="2" name="jigglypuffjp">#REF!</definedName>
    <definedName localSheetId="2" name="jynx">#REF!</definedName>
    <definedName localSheetId="2" name="starmie">#REF!</definedName>
    <definedName localSheetId="2" name="image096jp">#REF!</definedName>
    <definedName localSheetId="2" name="image095jp">#REF!</definedName>
    <definedName localSheetId="2" name="image076">#REF!</definedName>
    <definedName name="scytherjp">'Kanto 151'!$B$124</definedName>
    <definedName localSheetId="2" name="image016">#REF!</definedName>
    <definedName name="machokejp">'Kanto 151'!$B$68</definedName>
    <definedName localSheetId="2" name="image127">#REF!</definedName>
    <definedName name="grimer">'Kanto 151'!$A$89</definedName>
    <definedName localSheetId="2" name="image011jp">#REF!</definedName>
    <definedName localSheetId="2" name="tentacool">#REF!</definedName>
    <definedName localSheetId="2" name="image009jp">#REF!</definedName>
    <definedName name="hitmonlee">'Kanto 151'!$A$107</definedName>
    <definedName name="image113jp">'Kanto 151'!$N$114</definedName>
    <definedName name="wigglytuff">'Kanto 151'!$A$41</definedName>
    <definedName name="image116jp">'Kanto 151'!$N$117</definedName>
    <definedName localSheetId="2" name="image092">#REF!</definedName>
    <definedName name="magneton">'Kanto 151'!$A$83</definedName>
    <definedName name="image120">'Kanto 151'!$M$121</definedName>
    <definedName localSheetId="2" name="image026jp">#REF!</definedName>
    <definedName name="paras">'Kanto 151'!$A$47</definedName>
    <definedName name="image057jp">'Kanto 151'!$N$58</definedName>
    <definedName localSheetId="2" name="psyduck">#REF!</definedName>
    <definedName name="image124">'Kanto 151'!$M$125</definedName>
    <definedName localSheetId="2" name="image097jp">#REF!</definedName>
    <definedName localSheetId="2" name="image057jp">#REF!</definedName>
    <definedName name="image080jp">'Kanto 151'!$N$81</definedName>
    <definedName localSheetId="2" name="image047">#REF!</definedName>
    <definedName localSheetId="2" name="vileplume">#REF!</definedName>
    <definedName localSheetId="2" name="image129">#REF!</definedName>
    <definedName name="image007jp">'Kanto 151'!$N$8</definedName>
    <definedName name="weezing">'Kanto 151'!$A$111</definedName>
    <definedName name="oddishjp">'Kanto 151'!$B$44</definedName>
    <definedName name="tentacrueljp">'Kanto 151'!$B$74</definedName>
    <definedName name="image114">'Kanto 151'!$M$115</definedName>
    <definedName name="image096jp">'Kanto 151'!$N$97</definedName>
    <definedName localSheetId="2" name="victreebel">#REF!</definedName>
    <definedName name="nidoranm">'Kanto 151'!$A$33</definedName>
    <definedName name="image057">'Kanto 151'!$M$58</definedName>
    <definedName name="image097">'Kanto 151'!$M$98</definedName>
    <definedName localSheetId="2" name="wigglytuff">#REF!</definedName>
    <definedName name="hitmonchanjp">'Kanto 151'!$B$108</definedName>
    <definedName name="doduojp">'Kanto 151'!$B$85</definedName>
    <definedName name="image095jp">'Kanto 151'!$N$96</definedName>
    <definedName localSheetId="2" name="image014">#REF!</definedName>
    <definedName localSheetId="2" name="image150jp">#REF!</definedName>
    <definedName localSheetId="2" name="image001jp">#REF!</definedName>
    <definedName name="image105">'Kanto 151'!$M$106</definedName>
    <definedName name="image026jp">'Kanto 151'!$N$27</definedName>
    <definedName localSheetId="2" name="image061">#REF!</definedName>
    <definedName name="seadra">'Kanto 151'!$A$118</definedName>
    <definedName name="exeggutor">'Kanto 151'!$A$104</definedName>
    <definedName name="raticatejp">'Kanto 151'!$B$21</definedName>
    <definedName localSheetId="2" name="image097">#REF!</definedName>
    <definedName localSheetId="2" name="graveler">#REF!</definedName>
    <definedName localSheetId="2" name="image135">#REF!</definedName>
    <definedName name="meowthjp">'Kanto 151'!$B$53</definedName>
    <definedName name="snorlax">'Kanto 151'!$A$144</definedName>
    <definedName localSheetId="2" name="image116jp">#REF!</definedName>
    <definedName localSheetId="2" name="beedrill">#REF!</definedName>
    <definedName localSheetId="2" name="image066">#REF!</definedName>
    <definedName name="image107jp">'Kanto 151'!$N$108</definedName>
    <definedName localSheetId="2" name="image053">#REF!</definedName>
    <definedName name="poliwagjp">'Kanto 151'!$B$61</definedName>
    <definedName localSheetId="2" name="image042jp">#REF!</definedName>
    <definedName localSheetId="2" name="drowzeejp">#REF!</definedName>
    <definedName localSheetId="2" name="kabutops">#REF!</definedName>
    <definedName localSheetId="2" name="image086">#REF!</definedName>
    <definedName localSheetId="2" name="krabby">#REF!</definedName>
    <definedName localSheetId="2" name="image071">#REF!</definedName>
    <definedName name="seel">'Kanto 151'!$A$87</definedName>
    <definedName localSheetId="2" name="image029">#REF!</definedName>
    <definedName localSheetId="2" name="image015jp">#REF!</definedName>
    <definedName localSheetId="2" name="mrmime">#REF!</definedName>
    <definedName name="ninetales">'Kanto 151'!$A$39</definedName>
    <definedName name="image097jp">'Kanto 151'!$N$98</definedName>
    <definedName name="image150jp">'Kanto 151'!$N$151</definedName>
    <definedName name="image008">'Kanto 151'!$M$9</definedName>
    <definedName localSheetId="2" name="iamge082jp">#REF!</definedName>
    <definedName localSheetId="2" name="image067jp">#REF!</definedName>
    <definedName name="krabbyjp">'Kanto 151'!$B$99</definedName>
    <definedName localSheetId="2" name="raticate">#REF!</definedName>
    <definedName localSheetId="2" name="image145">#REF!</definedName>
    <definedName localSheetId="2" name="image139">#REF!</definedName>
    <definedName localSheetId="2" name="voltorb">#REF!</definedName>
    <definedName localSheetId="2" name="marowak">#REF!</definedName>
    <definedName name="magnemite">'Kanto 151'!$A$82</definedName>
    <definedName localSheetId="2" name="image118">#REF!</definedName>
    <definedName localSheetId="2" name="weezingjp">#REF!</definedName>
    <definedName name="metapod">'Kanto 151'!$A$12</definedName>
    <definedName name="rhydon">'Kanto 151'!$A$113</definedName>
    <definedName name="gloom">'Kanto 151'!$A$45</definedName>
    <definedName localSheetId="2" name="image078">#REF!</definedName>
    <definedName localSheetId="2" name="image022">#REF!</definedName>
    <definedName name="arcanine">'Kanto 151'!$A$60</definedName>
    <definedName name="image087">'Kanto 151'!$M$88</definedName>
    <definedName name="image086">'Kanto 151'!$M$87</definedName>
    <definedName localSheetId="2" name="image134">#REF!</definedName>
    <definedName localSheetId="2" name="image008">#REF!</definedName>
    <definedName localSheetId="2" name="magikarp">#REF!</definedName>
    <definedName name="image128jp">'Kanto 151'!$N$129</definedName>
    <definedName localSheetId="2" name="doduojp">#REF!</definedName>
    <definedName localSheetId="2" name="image035jp">#REF!</definedName>
    <definedName localSheetId="2" name="image025">#REF!</definedName>
    <definedName localSheetId="2" name="image107">#REF!</definedName>
    <definedName name="weedlejp">'Kanto 151'!$B$14</definedName>
    <definedName name="image062jp">'Kanto 151'!$N$63</definedName>
    <definedName name="image094jp">'Kanto 151'!$N$95</definedName>
    <definedName name="gengar">'Kanto 151'!$A$95</definedName>
    <definedName localSheetId="2" name="nidorina">#REF!</definedName>
    <definedName localSheetId="2" name="onix">#REF!</definedName>
    <definedName name="hypnojp">'Kanto 151'!$B$98</definedName>
    <definedName name="image051jp">'Kanto 151'!$N$52</definedName>
    <definedName name="chanseyjp">'Kanto 151'!$B$114</definedName>
    <definedName name="ekans">'Kanto 151'!$A$24</definedName>
    <definedName name="image111">'Kanto 151'!$M$112</definedName>
    <definedName name="rhyhornjp">'Kanto 151'!$B$112</definedName>
    <definedName name="ivysaur">'Kanto 151'!$A$3</definedName>
    <definedName localSheetId="2" name="kadabrajp">#REF!</definedName>
    <definedName name="image078">'Kanto 151'!$M$79</definedName>
    <definedName name="raticate">'Kanto 151'!$A$21</definedName>
    <definedName localSheetId="2" name="image119jp">#REF!</definedName>
    <definedName name="voltorbjp">'Kanto 151'!$B$101</definedName>
    <definedName name="image004jp">'Kanto 151'!$N$5</definedName>
    <definedName localSheetId="2" name="bellsprout">#REF!</definedName>
    <definedName localSheetId="2" name="starmiejp">#REF!</definedName>
    <definedName localSheetId="2" name="growlithejp">#REF!</definedName>
    <definedName name="image100jp">'Kanto 151'!$N$101</definedName>
    <definedName localSheetId="2" name="slowbrojp">#REF!</definedName>
    <definedName name="image026">'Kanto 151'!$M$27</definedName>
    <definedName name="slowpokejp">'Kanto 151'!$B$80</definedName>
    <definedName name="image005">'Kanto 151'!$M$6</definedName>
    <definedName localSheetId="2" name="ninetalesjp">#REF!</definedName>
    <definedName name="arcaninejp">'Kanto 151'!$B$60</definedName>
    <definedName name="image092">'Kanto 151'!$M$93</definedName>
    <definedName name="image015">'Kanto 151'!$M$16</definedName>
    <definedName localSheetId="2" name="image110jp">#REF!</definedName>
    <definedName name="image029">'Kanto 151'!$M$30</definedName>
    <definedName name="venonat">'Kanto 151'!$A$49</definedName>
    <definedName localSheetId="2" name="image050jp">#REF!</definedName>
    <definedName localSheetId="2" name="kabuto">#REF!</definedName>
    <definedName name="image002">'Kanto 151'!$M$3</definedName>
    <definedName localSheetId="2" name="rattata">#REF!</definedName>
    <definedName name="image042">'Kanto 151'!$M$43</definedName>
    <definedName name="abra">'Kanto 151'!$A$64</definedName>
    <definedName localSheetId="2" name="image010">#REF!</definedName>
    <definedName name="image146jp">'Kanto 151'!$N$147</definedName>
    <definedName name="clefable">'Kanto 151'!$A$37</definedName>
    <definedName localSheetId="2" name="persian">#REF!</definedName>
    <definedName localSheetId="2" name="image092jp">#REF!</definedName>
    <definedName localSheetId="2" name="image077jp">#REF!</definedName>
    <definedName name="exeggcutejp">'Kanto 151'!$B$103</definedName>
    <definedName name="image034">'Kanto 151'!$M$35</definedName>
    <definedName name="image081jp">'Kanto 151'!$N$82</definedName>
    <definedName name="moltresjp">'Kanto 151'!$B$147</definedName>
    <definedName localSheetId="2" name="image052jp">#REF!</definedName>
    <definedName localSheetId="2" name="image056jp">#REF!</definedName>
    <definedName localSheetId="2" name="exeggutorjp">#REF!</definedName>
    <definedName name="poliwrathjp">'Kanto 151'!$B$63</definedName>
    <definedName name="image054jp">'Kanto 151'!$N$55</definedName>
    <definedName name="image053">'Kanto 151'!$M$54</definedName>
    <definedName name="image132jp">'Kanto 151'!$N$133</definedName>
    <definedName localSheetId="2" name="articuno">#REF!</definedName>
    <definedName localSheetId="2" name="image059jp">#REF!</definedName>
    <definedName name="image139jp">'Kanto 151'!$N$140</definedName>
    <definedName name="jolteon">'Kanto 151'!$A$136</definedName>
    <definedName localSheetId="2" name="poliwhirljp">#REF!</definedName>
    <definedName name="butterfree">'Kanto 151'!$A$13</definedName>
    <definedName name="tentacruel">'Kanto 151'!$A$74</definedName>
    <definedName localSheetId="2" name="taurosjp">#REF!</definedName>
    <definedName name="image102">'Kanto 151'!$M$103</definedName>
    <definedName localSheetId="2" name="hitmonleejp">#REF!</definedName>
    <definedName name="pikachujp">'Kanto 151'!$B$26</definedName>
    <definedName localSheetId="2" name="image054">#REF!</definedName>
    <definedName name="mewtwo">'Kanto 151'!$A$151</definedName>
    <definedName name="image051">'Kanto 151'!$M$52</definedName>
    <definedName localSheetId="2" name="image013">#REF!</definedName>
    <definedName name="image054">'Kanto 151'!$M$55</definedName>
    <definedName localSheetId="2" name="wartortle">#REF!</definedName>
    <definedName name="mrmime">'Kanto 151'!$A$123</definedName>
    <definedName name="seaking">'Kanto 151'!$A$120</definedName>
    <definedName localSheetId="2" name="abra">#REF!</definedName>
    <definedName localSheetId="2" name="ivysaur">#REF!</definedName>
    <definedName localSheetId="2" name="hypnojp">#REF!</definedName>
    <definedName localSheetId="2" name="image113jp">#REF!</definedName>
    <definedName localSheetId="2" name="pikachu">#REF!</definedName>
    <definedName name="image068">'Kanto 151'!$M$69</definedName>
    <definedName name="kabutojp">'Kanto 151'!$B$141</definedName>
    <definedName name="wartortlejp">'Kanto 151'!$B$9</definedName>
    <definedName name="charmander">'Kanto 151'!$A$5</definedName>
    <definedName localSheetId="2" name="blastoise">#REF!</definedName>
    <definedName name="kakuna">'Kanto 151'!$A$15</definedName>
    <definedName localSheetId="2" name="weepinbell">#REF!</definedName>
    <definedName localSheetId="2" name="machoke">#REF!</definedName>
    <definedName name="farfetchdjp">'Kanto 151'!$B$84</definedName>
    <definedName name="flareonjp">'Kanto 151'!$B$137</definedName>
    <definedName localSheetId="2" name="image071jp">#REF!</definedName>
    <definedName name="mewtwojp">'Kanto 151'!$B$151</definedName>
    <definedName name="image069">'Kanto 151'!$M$70</definedName>
    <definedName localSheetId="2" name="image041jp">#REF!</definedName>
    <definedName localSheetId="2" name="image017">#REF!</definedName>
    <definedName name="charmeleon">'Kanto 151'!$A$6</definedName>
    <definedName name="image018jp">'Kanto 151'!$N$19</definedName>
    <definedName localSheetId="2" name="image010jp">#REF!</definedName>
    <definedName name="image011">'Kanto 151'!$M$12</definedName>
    <definedName localSheetId="2" name="ninetales">#REF!</definedName>
    <definedName localSheetId="2" name="image075jp">#REF!</definedName>
    <definedName name="image116">'Kanto 151'!$M$117</definedName>
    <definedName localSheetId="2" name="iamge085jp">#REF!</definedName>
    <definedName localSheetId="2" name="psyduckjp">#REF!</definedName>
    <definedName localSheetId="2" name="arcaninejp">#REF!</definedName>
    <definedName localSheetId="2" name="image007">#REF!</definedName>
    <definedName name="magnemitejp">'Kanto 151'!$B$82</definedName>
    <definedName name="dragonairjp">'Kanto 151'!$B$149</definedName>
    <definedName localSheetId="2" name="image040">#REF!</definedName>
    <definedName localSheetId="2" name="image019jp">#REF!</definedName>
    <definedName name="image069jp">'Kanto 151'!$N$70</definedName>
    <definedName localSheetId="2" name="voltorbjp">#REF!</definedName>
    <definedName name="kadabra">'Kanto 151'!$A$65</definedName>
    <definedName name="image049jp">'Kanto 151'!$N$50</definedName>
    <definedName name="tangelajp">'Kanto 151'!$B$115</definedName>
    <definedName name="charmanderjp">'Kanto 151'!$B$5</definedName>
    <definedName name="kabuto">'Kanto 151'!$A$141</definedName>
    <definedName name="porygon">'Kanto 151'!$A$138</definedName>
    <definedName name="dragonitejp">'Kanto 151'!$B$150</definedName>
    <definedName name="image102jp">'Kanto 151'!$N$103</definedName>
    <definedName name="zubatjp">'Kanto 151'!$B$42</definedName>
    <definedName name="mew">'Kanto 151'!$A$152</definedName>
    <definedName name="image020jp">'Kanto 151'!$N$21</definedName>
    <definedName name="kingler">'Kanto 151'!$A$100</definedName>
    <definedName name="image129">'Kanto 151'!$M$130</definedName>
    <definedName name="image149jp">'Kanto 151'!$N$150</definedName>
    <definedName localSheetId="2" name="eevee">#REF!</definedName>
    <definedName name="image046">'Kanto 151'!$M$47</definedName>
    <definedName name="tentacool">'Kanto 151'!$A$73</definedName>
    <definedName localSheetId="2" name="image046jp">#REF!</definedName>
    <definedName name="image034jp">'Kanto 151'!$N$35</definedName>
    <definedName name="image035jp">'Kanto 151'!$N$36</definedName>
    <definedName name="image048jp">'Kanto 151'!$N$49</definedName>
    <definedName localSheetId="2" name="kakunajp">#REF!</definedName>
    <definedName name="image029jp">'Kanto 151'!$N$30</definedName>
    <definedName localSheetId="2" name="image137">#REF!</definedName>
    <definedName localSheetId="2" name="raichu">#REF!</definedName>
    <definedName localSheetId="2" name="image082">#REF!</definedName>
    <definedName name="image062">'Kanto 151'!$M$63</definedName>
    <definedName localSheetId="2" name="electrodejp">#REF!</definedName>
    <definedName name="dugtrio">'Kanto 151'!$A$52</definedName>
    <definedName name="image003">'Kanto 151'!$M$4</definedName>
    <definedName localSheetId="2" name="image142">#REF!</definedName>
    <definedName localSheetId="2" name="image042">#REF!</definedName>
    <definedName localSheetId="2" name="image133jp">#REF!</definedName>
    <definedName localSheetId="2" name="magnemite">#REF!</definedName>
    <definedName name="image137jp">'Kanto 151'!$N$138</definedName>
    <definedName localSheetId="2" name="nidorinojp">#REF!</definedName>
    <definedName name="rattatajp">'Kanto 151'!$B$20</definedName>
    <definedName localSheetId="2" name="image109">#REF!</definedName>
    <definedName name="image003jp">'Kanto 151'!$N$4</definedName>
    <definedName name="sandslashjp">'Kanto 151'!$B$29</definedName>
    <definedName name="horseajp">'Kanto 151'!$B$117</definedName>
    <definedName localSheetId="2" name="spearowjp">#REF!</definedName>
    <definedName name="machamp">'Kanto 151'!$A$69</definedName>
    <definedName name="image022">'Kanto 151'!$M$23</definedName>
    <definedName name="sandshrew">'Kanto 151'!$A$28</definedName>
    <definedName localSheetId="2" name="image025jp">#REF!</definedName>
    <definedName localSheetId="2" name="image018jp">#REF!</definedName>
    <definedName localSheetId="2" name="charmanderjp">#REF!</definedName>
    <definedName localSheetId="2" name="dugtriojp">#REF!</definedName>
    <definedName name="beedrill">'Kanto 151'!$A$16</definedName>
    <definedName localSheetId="2" name="gastly">#REF!</definedName>
    <definedName localSheetId="2" name="image012jp">#REF!</definedName>
    <definedName name="image138jp">'Kanto 151'!$N$139</definedName>
    <definedName name="image031jp">'Kanto 151'!$N$32</definedName>
    <definedName name="image147jp">'Kanto 151'!$N$148</definedName>
    <definedName localSheetId="2" name="beedrilljp">#REF!</definedName>
    <definedName name="image052jp">'Kanto 151'!$N$53</definedName>
    <definedName localSheetId="2" name="horsea">#REF!</definedName>
    <definedName name="image055">'Kanto 151'!$M$56</definedName>
    <definedName localSheetId="2" name="gyaradosjp">#REF!</definedName>
    <definedName localSheetId="2" name="rhyhorn">#REF!</definedName>
    <definedName name="image059">'Kanto 151'!$M$60</definedName>
    <definedName name="image105jp">'Kanto 151'!$N$106</definedName>
    <definedName localSheetId="2" name="image102">#REF!</definedName>
    <definedName localSheetId="2" name="geodude">#REF!</definedName>
    <definedName name="image037jp">'Kanto 151'!$N$38</definedName>
    <definedName name="victreebeljp">'Kanto 151'!$B$72</definedName>
    <definedName localSheetId="2" name="image128">#REF!</definedName>
    <definedName localSheetId="2" name="staryu">#REF!</definedName>
    <definedName localSheetId="2" name="kakuna">#REF!</definedName>
    <definedName localSheetId="2" name="image056">#REF!</definedName>
    <definedName localSheetId="2" name="ditto">#REF!</definedName>
    <definedName name="image139">'Kanto 151'!$M$140</definedName>
    <definedName name="rattata">'Kanto 151'!$A$20</definedName>
    <definedName localSheetId="2" name="seaking">#REF!</definedName>
    <definedName localSheetId="2" name="image144jp">#REF!</definedName>
    <definedName name="magikarp">'Kanto 151'!$A$130</definedName>
    <definedName name="pidgeotjp">'Kanto 151'!$B$19</definedName>
    <definedName name="clefablejp">'Kanto 151'!$B$37</definedName>
    <definedName name="slowbro">'Kanto 151'!$A$81</definedName>
    <definedName name="abrajp">'Kanto 151'!$B$64</definedName>
    <definedName localSheetId="2" name="victreebeljp">#REF!</definedName>
    <definedName name="image045">'Kanto 151'!$M$46</definedName>
    <definedName name="image022jp">'Kanto 151'!$N$23</definedName>
    <definedName name="image098jp">'Kanto 151'!$N$99</definedName>
    <definedName name="metapodjp">'Kanto 151'!$B$12</definedName>
    <definedName localSheetId="2" name="image107jp">#REF!</definedName>
    <definedName name="omastar">'Kanto 151'!$A$140</definedName>
    <definedName name="image134">'Kanto 151'!$M$135</definedName>
    <definedName name="image088">'Kanto 151'!$M$89</definedName>
    <definedName name="charizard">'Kanto 151'!$A$7</definedName>
    <definedName name="image121">'Kanto 151'!$M$122</definedName>
    <definedName name="image125jp">'Kanto 151'!$N$126</definedName>
    <definedName name="vileplumejp">'Kanto 151'!$B$46</definedName>
    <definedName name="mewjp">'Kanto 151'!$B$152</definedName>
    <definedName localSheetId="2" name="venomothjp">#REF!</definedName>
    <definedName localSheetId="2" name="image120">#REF!</definedName>
    <definedName localSheetId="2" name="image090jp">#REF!</definedName>
    <definedName name="image126">'Kanto 151'!$M$127</definedName>
    <definedName name="image056jp">'Kanto 151'!$N$57</definedName>
    <definedName localSheetId="2" name="fearow">#REF!</definedName>
    <definedName name="image037">'Kanto 151'!$M$38</definedName>
    <definedName name="bulbasaurjp">'Kanto 151'!$B$2</definedName>
    <definedName localSheetId="2" name="dodriojp">#REF!</definedName>
    <definedName name="image129jp">'Kanto 151'!$N$130</definedName>
    <definedName localSheetId="2" name="weezing">#REF!</definedName>
    <definedName name="image033jp">'Kanto 151'!$N$34</definedName>
    <definedName localSheetId="2" name="dratini">#REF!</definedName>
    <definedName name="image050">'Kanto 151'!$M$51</definedName>
    <definedName name="iamge082jp">'Kanto 151'!$N$83</definedName>
    <definedName localSheetId="2" name="image124">#REF!</definedName>
    <definedName name="venomothjp">'Kanto 151'!$B$50</definedName>
    <definedName localSheetId="2" name="image046">#REF!</definedName>
    <definedName localSheetId="2" name="image138jp">#REF!</definedName>
    <definedName localSheetId="2" name="image032jp">#REF!</definedName>
    <definedName localSheetId="2" name="ponytajp">#REF!</definedName>
    <definedName name="iamge043jp">'Kanto 151'!$N$44</definedName>
    <definedName name="charmeleonjp">'Kanto 151'!$B$6</definedName>
    <definedName name="kangaskhan">'Kanto 151'!$A$116</definedName>
    <definedName name="caterpie">'Kanto 151'!$A$11</definedName>
    <definedName name="goldeen">'Kanto 151'!$A$119</definedName>
    <definedName name="image131">'Kanto 151'!$M$132</definedName>
    <definedName name="image078jp">'Kanto 151'!$N$79</definedName>
    <definedName name="image149">'Kanto 151'!$M$150</definedName>
    <definedName localSheetId="2" name="butterfreejp">#REF!</definedName>
    <definedName name="image096">'Kanto 151'!$M$97</definedName>
    <definedName name="image046jp">'Kanto 151'!$N$47</definedName>
    <definedName localSheetId="2" name="image081">#REF!</definedName>
    <definedName localSheetId="2" name="image057">#REF!</definedName>
    <definedName name="image091jp">'Kanto 151'!$N$92</definedName>
    <definedName localSheetId="2" name="image151">#REF!</definedName>
    <definedName localSheetId="2" name="image132jp">#REF!</definedName>
    <definedName localSheetId="2" name="diglettjp">#REF!</definedName>
    <definedName localSheetId="2" name="image147jp">#REF!</definedName>
    <definedName name="primeapejp">'Kanto 151'!$B$58</definedName>
    <definedName name="victreebel">'Kanto 151'!$A$72</definedName>
    <definedName localSheetId="2" name="image063">#REF!</definedName>
    <definedName localSheetId="2" name="image027jp">#REF!</definedName>
    <definedName name="tangela">'Kanto 151'!$A$115</definedName>
    <definedName name="image118jp">'Kanto 151'!$N$119</definedName>
    <definedName name="omastarjp">'Kanto 151'!$B$140</definedName>
    <definedName localSheetId="2" name="jolteon">#REF!</definedName>
    <definedName name="gravelerjp">'Kanto 151'!$B$76</definedName>
    <definedName localSheetId="2" name="image112jp">#REF!</definedName>
    <definedName name="mukjp">'Kanto 151'!$B$90</definedName>
    <definedName localSheetId="2" name="krabbyjp">#REF!</definedName>
    <definedName localSheetId="2" name="image030">#REF!</definedName>
    <definedName localSheetId="2" name="image075">#REF!</definedName>
    <definedName localSheetId="2" name="image146jp">#REF!</definedName>
    <definedName name="kinglerjp">'Kanto 151'!$B$100</definedName>
    <definedName localSheetId="2" name="image069jp">#REF!</definedName>
    <definedName localSheetId="2" name="hitmonlee">#REF!</definedName>
    <definedName localSheetId="2" name="aerodactyl">#REF!</definedName>
    <definedName localSheetId="2" name="image139jp">#REF!</definedName>
    <definedName name="vaporeon">'Kanto 151'!$A$135</definedName>
    <definedName name="image011jp">'Kanto 151'!$N$12</definedName>
    <definedName localSheetId="2" name="image121">#REF!</definedName>
    <definedName name="image015jp">'Kanto 151'!$N$16</definedName>
    <definedName localSheetId="2" name="image126jp">#REF!</definedName>
    <definedName name="image135jp">'Kanto 151'!$N$136</definedName>
    <definedName name="ekansjp">'Kanto 151'!$B$24</definedName>
    <definedName name="image088jp">'Kanto 151'!$N$89</definedName>
    <definedName localSheetId="2" name="image072">#REF!</definedName>
    <definedName localSheetId="2" name="arbokjp">#REF!</definedName>
    <definedName localSheetId="2" name="dodrio">#REF!</definedName>
    <definedName name="gyaradosjp">'Kanto 151'!$B$131</definedName>
    <definedName localSheetId="2" name="image136jp">#REF!</definedName>
    <definedName name="image030">'Kanto 151'!$M$31</definedName>
    <definedName localSheetId="2" name="image085">#REF!</definedName>
    <definedName localSheetId="2" name="chanseyjp">#REF!</definedName>
    <definedName localSheetId="2" name="image110">#REF!</definedName>
    <definedName name="kadabrajp">'Kanto 151'!$B$65</definedName>
    <definedName name="nidoranf">'Kanto 151'!$A$30</definedName>
    <definedName name="image010">'Kanto 151'!$M$11</definedName>
    <definedName name="starmiejp">'Kanto 151'!$B$122</definedName>
    <definedName name="image146">'Kanto 151'!$M$147</definedName>
    <definedName localSheetId="2" name="kinglerjp">#REF!</definedName>
    <definedName name="dittojp">'Kanto 151'!$B$133</definedName>
    <definedName localSheetId="2" name="parasjp">#REF!</definedName>
    <definedName name="image123">'Kanto 151'!$M$124</definedName>
    <definedName localSheetId="2" name="image005jp">#REF!</definedName>
    <definedName localSheetId="2" name="golduckjp">#REF!</definedName>
    <definedName localSheetId="2" name="hitmonchanjp">#REF!</definedName>
    <definedName name="image032jp">'Kanto 151'!$N$33</definedName>
    <definedName name="image070">'Kanto 151'!$M$71</definedName>
    <definedName localSheetId="2" name="image020">#REF!</definedName>
    <definedName name="image047">'Kanto 151'!$M$48</definedName>
    <definedName name="raichujp">'Kanto 151'!$B$27</definedName>
    <definedName localSheetId="2" name="nidoranfjp">#REF!</definedName>
    <definedName localSheetId="2" name="persianjp">#REF!</definedName>
    <definedName localSheetId="2" name="omastar">#REF!</definedName>
    <definedName localSheetId="2" name="flareon">#REF!</definedName>
    <definedName name="image019">'Kanto 151'!$M$20</definedName>
    <definedName localSheetId="2" name="rhydon">#REF!</definedName>
    <definedName name="venusaurjp">'Kanto 151'!$B$4</definedName>
    <definedName localSheetId="2" name="golduck">#REF!</definedName>
    <definedName name="image072jp">'Kanto 151'!$N$73</definedName>
    <definedName localSheetId="2" name="venonat">#REF!</definedName>
    <definedName name="image071">'Kanto 151'!$M$72</definedName>
    <definedName localSheetId="2" name="image083jp">#REF!</definedName>
    <definedName name="image063">'Kanto 151'!$M$64</definedName>
    <definedName localSheetId="2" name="image004jp">#REF!</definedName>
    <definedName localSheetId="2" name="image037jp">#REF!</definedName>
    <definedName name="image142">'Kanto 151'!$M$143</definedName>
    <definedName localSheetId="2" name="image026">#REF!</definedName>
    <definedName name="pinsir">'Kanto 151'!$A$128</definedName>
    <definedName name="muk">'Kanto 151'!$A$90</definedName>
    <definedName name="image136">'Kanto 151'!$M$137</definedName>
    <definedName localSheetId="2" name="omanyte">#REF!</definedName>
    <definedName localSheetId="2" name="dewgong">#REF!</definedName>
    <definedName name="image075jp">'Kanto 151'!$N$76</definedName>
    <definedName name="parasect">'Kanto 151'!$A$48</definedName>
    <definedName name="image049">'Kanto 151'!$N$51</definedName>
    <definedName name="gyarados">'Kanto 151'!$A$131</definedName>
    <definedName name="articuno">'Kanto 151'!$A$145</definedName>
    <definedName localSheetId="2" name="image053jp">#REF!</definedName>
    <definedName localSheetId="2" name="dragonitejp">#REF!</definedName>
    <definedName name="image098">'Kanto 151'!$M$99</definedName>
    <definedName name="exeggcute">'Kanto 151'!$A$103</definedName>
    <definedName name="image017">'Kanto 151'!$M$18</definedName>
    <definedName name="rapidashjp">'Kanto 151'!$B$79</definedName>
    <definedName localSheetId="2" name="image089">#REF!</definedName>
    <definedName localSheetId="2" name="meowth">#REF!</definedName>
    <definedName localSheetId="2" name="image018">#REF!</definedName>
    <definedName localSheetId="2" name="cloyster">#REF!</definedName>
    <definedName localSheetId="2" name="image003jp">#REF!</definedName>
    <definedName localSheetId="2" name="image021">#REF!</definedName>
    <definedName localSheetId="2" name="image068">#REF!</definedName>
    <definedName localSheetId="2" name="dragonite">#REF!</definedName>
    <definedName localSheetId="2" name="image015">#REF!</definedName>
    <definedName name="image027">'Kanto 151'!$M$28</definedName>
    <definedName localSheetId="2" name="image033">#REF!</definedName>
    <definedName name="golem">'Kanto 151'!$A$77</definedName>
    <definedName localSheetId="2" name="kangaskhan">#REF!</definedName>
    <definedName localSheetId="2" name="vaporeonjp">#REF!</definedName>
    <definedName localSheetId="2" name="image146">#REF!</definedName>
    <definedName localSheetId="2" name="nidorinajp">#REF!</definedName>
    <definedName localSheetId="2" name="mew">#REF!</definedName>
    <definedName name="image036jp">'Kanto 151'!$N$37</definedName>
    <definedName localSheetId="2" name="butterfree">#REF!</definedName>
    <definedName localSheetId="2" name="lickitungjp">#REF!</definedName>
    <definedName localSheetId="2" name="image130">#REF!</definedName>
    <definedName localSheetId="2" name="image054jp">#REF!</definedName>
    <definedName name="image066jp">'Kanto 151'!$N$67</definedName>
    <definedName name="image108jp">'Kanto 151'!$N$109</definedName>
    <definedName name="image074jp">'Kanto 151'!$N$75</definedName>
    <definedName localSheetId="2" name="nidokingjp">#REF!</definedName>
    <definedName name="image038">'Kanto 151'!$M$39</definedName>
    <definedName localSheetId="2" name="diglett">#REF!</definedName>
    <definedName name="oddish">'Kanto 151'!$A$44</definedName>
    <definedName localSheetId="2" name="image125jp">#REF!</definedName>
    <definedName localSheetId="2" name="caterpie">#REF!</definedName>
    <definedName localSheetId="2" name="clefairy">#REF!</definedName>
    <definedName localSheetId="2" name="magnetonjp">#REF!</definedName>
    <definedName localSheetId="2" name="image103">#REF!</definedName>
    <definedName localSheetId="2" name="image143jp">#REF!</definedName>
    <definedName name="pidgeottojp">'Kanto 151'!$B$18</definedName>
    <definedName name="venonatjp">'Kanto 151'!$B$49</definedName>
    <definedName name="image045jp">'Kanto 151'!$N$46</definedName>
    <definedName name="image112">'Kanto 151'!$M$113</definedName>
    <definedName name="shellderjp">'Kanto 151'!$B$91</definedName>
    <definedName name="psyduck">'Kanto 151'!$A$55</definedName>
    <definedName name="dragonite">'Kanto 151'!$A$150</definedName>
    <definedName name="arbok">'Kanto 151'!$A$25</definedName>
    <definedName localSheetId="2" name="image088jp">#REF!</definedName>
    <definedName localSheetId="2" name="magneton">#REF!</definedName>
    <definedName name="zubat">'Kanto 151'!$A$42</definedName>
    <definedName name="image143jp">'Kanto 151'!$N$144</definedName>
    <definedName localSheetId="2" name="slowbro">#REF!</definedName>
    <definedName name="drowzee">'Kanto 151'!$A$97</definedName>
    <definedName localSheetId="2" name="image070jp">#REF!</definedName>
    <definedName name="staryu">'Kanto 151'!$A$121</definedName>
    <definedName localSheetId="2" name="image079">#REF!</definedName>
    <definedName name="image067jp">#REF!</definedName>
    <definedName name="image027jp">'Kanto 151'!$N$28</definedName>
    <definedName name="image068jp">'Kanto 151'!$N$69</definedName>
    <definedName localSheetId="2" name="image059">#REF!</definedName>
    <definedName localSheetId="2" name="image045">#REF!</definedName>
    <definedName name="image058">'Kanto 151'!$M$59</definedName>
    <definedName localSheetId="2" name="nidoqueen">#REF!</definedName>
    <definedName localSheetId="2" name="image062">#REF!</definedName>
    <definedName name="chansey">'Kanto 151'!$A$114</definedName>
    <definedName name="aerodactyljp">'Kanto 151'!$B$143</definedName>
    <definedName localSheetId="2" name="vulpixjp">#REF!</definedName>
    <definedName localSheetId="2" name="image140">#REF!</definedName>
    <definedName name="image099jp">'Kanto 151'!$N$100</definedName>
    <definedName localSheetId="2" name="magmar">#REF!</definedName>
    <definedName name="image004">#REF!</definedName>
    <definedName localSheetId="2" name="image144">#REF!</definedName>
    <definedName localSheetId="2" name="image149">#REF!</definedName>
    <definedName localSheetId="2" name="machampjp">#REF!</definedName>
    <definedName localSheetId="2" name="image019">#REF!</definedName>
    <definedName name="electabuzz">'Kanto 151'!$A$126</definedName>
    <definedName localSheetId="2" name="image119">#REF!</definedName>
    <definedName localSheetId="2" name="rapidashjp">#REF!</definedName>
    <definedName localSheetId="2" name="image049jp">#REF!</definedName>
    <definedName name="geodude">'Kanto 151'!$A$75</definedName>
    <definedName name="image144">'Kanto 151'!$M$145</definedName>
    <definedName localSheetId="2" name="image081jp">#REF!</definedName>
    <definedName localSheetId="2" name="vileplumejp">#REF!</definedName>
    <definedName name="image099">'Kanto 151'!$M$100</definedName>
    <definedName localSheetId="2" name="kadabra">#REF!</definedName>
    <definedName name="sandslash">'Kanto 151'!$A$29</definedName>
    <definedName localSheetId="2" name="image102jp">#REF!</definedName>
    <definedName name="image039">'Kanto 151'!$M$40</definedName>
    <definedName name="image048">'Kanto 151'!$M$49</definedName>
    <definedName localSheetId="2" name="image134jp">#REF!</definedName>
    <definedName name="image090jp">'Kanto 151'!$N$91</definedName>
    <definedName localSheetId="2" name="charmeleon">#REF!</definedName>
    <definedName localSheetId="2" name="drowzee">#REF!</definedName>
    <definedName name="flareon">'Kanto 151'!$A$137</definedName>
    <definedName name="zapdos">'Kanto 151'!$A$146</definedName>
    <definedName name="image091">'Kanto 151'!$M$92</definedName>
    <definedName localSheetId="2" name="arcanine">#REF!</definedName>
    <definedName name="diglettjp">'Kanto 151'!$B$51</definedName>
    <definedName localSheetId="2" name="image039jp">#REF!</definedName>
    <definedName localSheetId="2" name="image044">#REF!</definedName>
    <definedName localSheetId="2" name="growlithe">#REF!</definedName>
    <definedName localSheetId="2" name="image038jp">#REF!</definedName>
    <definedName localSheetId="2" name="image143">#REF!</definedName>
    <definedName name="image040">'Kanto 151'!$M$41</definedName>
    <definedName name="parasectjp">'Kanto 151'!$B$48</definedName>
    <definedName localSheetId="2" name="image147">#REF!</definedName>
    <definedName localSheetId="2" name="image131jp">#REF!</definedName>
    <definedName localSheetId="2" name="image035">#REF!</definedName>
    <definedName localSheetId="2" name="image130jp">#REF!</definedName>
    <definedName name="haunter">'Kanto 151'!$A$94</definedName>
    <definedName localSheetId="2" name="image028jp">#REF!</definedName>
    <definedName localSheetId="2" name="cubonejp">#REF!</definedName>
    <definedName localSheetId="2" name="image078jp">#REF!</definedName>
    <definedName name="pidgeot">'Kanto 151'!$A$19</definedName>
    <definedName name="articunojp">'Kanto 151'!$B$145</definedName>
    <definedName name="haunterjp">'Kanto 151'!$B$94</definedName>
    <definedName localSheetId="2" name="scyther">#REF!</definedName>
    <definedName localSheetId="2" name="raticatejp">#REF!</definedName>
    <definedName localSheetId="2" name="image105jp">#REF!</definedName>
    <definedName localSheetId="2" name="venusaur">#REF!</definedName>
    <definedName name="eeveejp">'Kanto 151'!$B$134</definedName>
    <definedName localSheetId="2" name="image135jp">#REF!</definedName>
    <definedName localSheetId="2" name="image037">#REF!</definedName>
    <definedName localSheetId="2" name="nidoking">#REF!</definedName>
    <definedName name="image042jp">'Kanto 151'!$N$43</definedName>
    <definedName name="image024">'Kanto 151'!$M$25</definedName>
    <definedName name="gastly">'Kanto 151'!$A$93</definedName>
    <definedName localSheetId="2" name="mewtwo">#REF!</definedName>
    <definedName name="pinsirjp">'Kanto 151'!$B$128</definedName>
    <definedName localSheetId="2" name="tauros">#REF!</definedName>
    <definedName localSheetId="2" name="image065jp">#REF!</definedName>
    <definedName name="image120jp">'Kanto 151'!$N$121</definedName>
    <definedName localSheetId="2" name="image021jp">#REF!</definedName>
    <definedName name="wartortle">'Kanto 151'!$A$9</definedName>
    <definedName localSheetId="2" name="vulpix">#REF!</definedName>
    <definedName localSheetId="2" name="rhydonjp">#REF!</definedName>
    <definedName name="image106jp">'Kanto 151'!$N$107</definedName>
    <definedName name="image124jp">'Kanto 151'!$N$125</definedName>
    <definedName localSheetId="2" name="gyarados">#REF!</definedName>
    <definedName name="image100">'Kanto 151'!$M$101</definedName>
    <definedName localSheetId="2" name="image006jp">#REF!</definedName>
    <definedName localSheetId="2" name="charizard">#REF!</definedName>
    <definedName localSheetId="2" name="snorlax">#REF!</definedName>
    <definedName localSheetId="2" name="image084jp">#REF!</definedName>
    <definedName localSheetId="2" name="image105">#REF!</definedName>
    <definedName name="image014jp">'Kanto 151'!$N$15</definedName>
    <definedName name="image018">'Kanto 151'!$M$19</definedName>
    <definedName localSheetId="2" name="image129jp">#REF!</definedName>
    <definedName localSheetId="2" name="iamge043jp">#REF!</definedName>
    <definedName name="laprasjp">'Kanto 151'!$B$132</definedName>
    <definedName name="image109jp">'Kanto 151'!$N$110</definedName>
    <definedName name="venomoth">'Kanto 151'!$A$50</definedName>
    <definedName name="image072">'Kanto 151'!$M$73</definedName>
    <definedName name="vaporeonjp">'Kanto 151'!$B$135</definedName>
    <definedName name="image064jp">'Kanto 151'!$N$65</definedName>
    <definedName name="image137">'Kanto 151'!$M$138</definedName>
    <definedName localSheetId="2" name="image024jp">#REF!</definedName>
    <definedName name="kangaskhanjp">'Kanto 151'!$B$116</definedName>
    <definedName localSheetId="2" name="image101">#REF!</definedName>
    <definedName name="image053jp">'Kanto 151'!$N$54</definedName>
    <definedName name="image024jp">'Kanto 151'!$N$25</definedName>
    <definedName localSheetId="2" name="image011">#REF!</definedName>
    <definedName name="image005jp">'Kanto 151'!$N$6</definedName>
    <definedName name="persian">'Kanto 151'!$A$54</definedName>
    <definedName localSheetId="2" name="image051">#REF!</definedName>
    <definedName localSheetId="2" name="image151jp">#REF!</definedName>
    <definedName localSheetId="2" name="image108">#REF!</definedName>
    <definedName name="image070jp">'Kanto 151'!$N$71</definedName>
    <definedName localSheetId="2" name="image100">#REF!</definedName>
    <definedName localSheetId="2" name="image052">#REF!</definedName>
    <definedName localSheetId="2" name="bellsproutjp">#REF!</definedName>
    <definedName localSheetId="2" name="image050">#REF!</definedName>
    <definedName name="image019jp">'Kanto 151'!$N$20</definedName>
    <definedName name="image006jp">'Kanto 151'!$N$7</definedName>
    <definedName localSheetId="2" name="farfetchd">#REF!</definedName>
    <definedName name="growlithejp">'Kanto 151'!$B$59</definedName>
    <definedName name="image017jp">'Kanto 151'!$N$18</definedName>
    <definedName name="image136jp">'Kanto 151'!$N$137</definedName>
    <definedName name="image087jp">'Kanto 151'!$N$88</definedName>
    <definedName localSheetId="2" name="nidoranf">#REF!</definedName>
    <definedName localSheetId="2" name="tentacrueljp">#REF!</definedName>
    <definedName name="image077jp">'Kanto 151'!$N$78</definedName>
    <definedName name="image094">'Kanto 151'!$M$95</definedName>
    <definedName localSheetId="2" name="image083">#REF!</definedName>
    <definedName name="image036">'Kanto 151'!$M$37</definedName>
    <definedName name="rapidash">'Kanto 151'!$A$79</definedName>
    <definedName name="image041jp">'Kanto 151'!$N$42</definedName>
    <definedName localSheetId="2" name="image109jp">#REF!</definedName>
    <definedName localSheetId="2" name="iamge060jp">#REF!</definedName>
    <definedName localSheetId="2" name="seeljp">#REF!</definedName>
    <definedName localSheetId="2" name="magikarpjp">#REF!</definedName>
    <definedName name="image075">'Kanto 151'!$M$76</definedName>
    <definedName localSheetId="2" name="weedle">#REF!</definedName>
    <definedName localSheetId="2" name="image007jp">#REF!</definedName>
    <definedName localSheetId="2" name="grimer">#REF!</definedName>
    <definedName localSheetId="2" name="primeape">#REF!</definedName>
    <definedName name="image066">'Kanto 151'!$M$67</definedName>
    <definedName name="image052">'Kanto 151'!$M$53</definedName>
    <definedName name="electrode">'Kanto 151'!$A$102</definedName>
    <definedName localSheetId="2" name="kingler">#REF!</definedName>
    <definedName localSheetId="2" name="marowakjp">#REF!</definedName>
    <definedName localSheetId="2" name="blastoisejp">#REF!</definedName>
    <definedName localSheetId="2" name="dragonairjp">#REF!</definedName>
    <definedName localSheetId="2" name="kabutojp">#REF!</definedName>
    <definedName localSheetId="2" name="image131">#REF!</definedName>
    <definedName localSheetId="2" name="weepinbelljp">#REF!</definedName>
    <definedName localSheetId="2" name="image112">#REF!</definedName>
    <definedName localSheetId="2" name="dragonair">#REF!</definedName>
    <definedName localSheetId="2" name="alakazamjp">#REF!</definedName>
    <definedName localSheetId="2" name="laprasjp">#REF!</definedName>
    <definedName name="mrmimejp">'Kanto 151'!$B$123</definedName>
    <definedName name="cubonejp">'Kanto 151'!$B$105</definedName>
    <definedName name="taurosjp">'Kanto 151'!$B$129</definedName>
    <definedName name="hypno">'Kanto 151'!$A$98</definedName>
    <definedName localSheetId="2" name="image121jp">#REF!</definedName>
    <definedName name="image131jp">'Kanto 151'!$N$132</definedName>
    <definedName localSheetId="2" name="slowpoke">#REF!</definedName>
    <definedName localSheetId="2" name="image124jp">#REF!</definedName>
    <definedName name="koffingjp">'Kanto 151'!$B$110</definedName>
    <definedName localSheetId="2" name="image141">#REF!</definedName>
    <definedName localSheetId="2" name="image013jp">#REF!</definedName>
    <definedName localSheetId="2" name="image031">#REF!</definedName>
    <definedName localSheetId="2" name="pidgeyjp">#REF!</definedName>
    <definedName name="clefairyjp">'Kanto 151'!$B$36</definedName>
    <definedName localSheetId="2" name="image079jp">#REF!</definedName>
    <definedName name="image108">'Kanto 151'!$M$109</definedName>
    <definedName name="image080">'Kanto 151'!$M$81</definedName>
    <definedName name="gloomjp">'Kanto 151'!$B$45</definedName>
    <definedName localSheetId="2" name="image114">#REF!</definedName>
    <definedName localSheetId="2" name="onixjp">#REF!</definedName>
    <definedName localSheetId="2" name="image031jp">#REF!</definedName>
    <definedName name="slowbrojp">'Kanto 151'!$B$81</definedName>
    <definedName localSheetId="2" name="image047jp">#REF!</definedName>
    <definedName localSheetId="2" name="electabuzzjp">#REF!</definedName>
    <definedName name="poliwag">'Kanto 151'!$A$61</definedName>
    <definedName localSheetId="2" name="image128jp">#REF!</definedName>
    <definedName localSheetId="2" name="image048">#REF!</definedName>
    <definedName localSheetId="2" name="exeggutor">#REF!</definedName>
    <definedName name="lapras">'Kanto 151'!$A$132</definedName>
    <definedName localSheetId="2" name="mankeyjp">#REF!</definedName>
    <definedName localSheetId="2" name="image070">#REF!</definedName>
    <definedName name="image032">'Kanto 151'!$M$33</definedName>
    <definedName localSheetId="2" name="image073jp">#REF!</definedName>
    <definedName name="diglett">'Kanto 151'!$A$51</definedName>
    <definedName name="bellsprout">'Kanto 151'!$A$70</definedName>
    <definedName name="image093jp">'Kanto 151'!$N$94</definedName>
    <definedName name="image107">'Kanto 151'!$M$108</definedName>
    <definedName name="image006">'Kanto 151'!$M$7</definedName>
    <definedName name="kabutopsjp">'Kanto 151'!$B$142</definedName>
    <definedName name="poliwhirl">'Kanto 151'!$A$62</definedName>
    <definedName name="image135">'Kanto 151'!$M$136</definedName>
    <definedName name="machampjp">'Kanto 151'!$B$69</definedName>
    <definedName localSheetId="2" name="poliwrathjp">#REF!</definedName>
    <definedName localSheetId="2" name="image113">#REF!</definedName>
    <definedName localSheetId="2" name="image123">#REF!</definedName>
    <definedName name="omanyte">'Kanto 151'!$A$139</definedName>
    <definedName localSheetId="2" name="oddish">#REF!</definedName>
    <definedName localSheetId="2" name="pidgeot">#REF!</definedName>
    <definedName name="magnetonjp">'Kanto 151'!$B$83</definedName>
    <definedName localSheetId="2" name="image089jp">#REF!</definedName>
    <definedName name="image023">'Kanto 151'!$M$24</definedName>
    <definedName name="image025jp">'Kanto 151'!$N$26</definedName>
    <definedName name="image122">'Kanto 151'!$M$123</definedName>
    <definedName localSheetId="2" name="image101jp">#REF!</definedName>
    <definedName localSheetId="2" name="kangaskhanjp">#REF!</definedName>
    <definedName name="jynxjp">'Kanto 151'!$B$125</definedName>
    <definedName localSheetId="2" name="ivysaurjp">#REF!</definedName>
    <definedName localSheetId="2" name="image049">#REF!</definedName>
    <definedName name="image050jp">#REF!</definedName>
    <definedName name="nidorino">'Kanto 151'!$A$34</definedName>
    <definedName name="image063jp">'Kanto 151'!$N$64</definedName>
    <definedName localSheetId="2" name="seadra">#REF!</definedName>
    <definedName localSheetId="2" name="image080">#REF!</definedName>
    <definedName localSheetId="2" name="caterpiejp">#REF!</definedName>
    <definedName localSheetId="2" name="seadrajp">#REF!</definedName>
    <definedName localSheetId="2" name="gastlyjp">#REF!</definedName>
    <definedName name="machopjp">'Kanto 151'!$B$67</definedName>
    <definedName name="image044">'Kanto 151'!$M$45</definedName>
    <definedName localSheetId="2" name="image030jp">#REF!</definedName>
    <definedName localSheetId="2" name="gengar">#REF!</definedName>
    <definedName name="image071jp">'Kanto 151'!$N$72</definedName>
    <definedName name="wigglytuffjp">'Kanto 151'!$B$41</definedName>
    <definedName localSheetId="2" name="image096">#REF!</definedName>
    <definedName localSheetId="2" name="golbat">#REF!</definedName>
    <definedName name="image110jp">'Kanto 151'!$N$111</definedName>
    <definedName name="image125">'Kanto 151'!$M$126</definedName>
    <definedName localSheetId="2" name="doduo">#REF!</definedName>
    <definedName localSheetId="2" name="dittojp">#REF!</definedName>
    <definedName name="image084">'Kanto 151'!$M$85</definedName>
    <definedName localSheetId="2" name="zubatjp">#REF!</definedName>
    <definedName localSheetId="2" name="image093">#REF!</definedName>
    <definedName name="image061jp">'Kanto 151'!$N$62</definedName>
    <definedName name="image008jp">'Kanto 151'!$N$9</definedName>
    <definedName localSheetId="2" name="haunter">#REF!</definedName>
    <definedName name="image134jp">'Kanto 151'!$N$135</definedName>
    <definedName localSheetId="2" name="image058">#REF!</definedName>
    <definedName name="alakazam">'Kanto 151'!$A$66</definedName>
    <definedName localSheetId="2" name="image041">#REF!</definedName>
    <definedName localSheetId="2" name="golemjp">#REF!</definedName>
    <definedName localSheetId="2" name="lapras">#REF!</definedName>
    <definedName name="image041">'Kanto 151'!$M$42</definedName>
    <definedName localSheetId="2" name="wartortlejp">#REF!</definedName>
    <definedName name="nidoranfjp">'Kanto 151'!$B$30</definedName>
    <definedName localSheetId="2" name="nidorino">#REF!</definedName>
    <definedName localSheetId="2" name="cloysterjp">#REF!</definedName>
    <definedName name="onix">'Kanto 151'!$A$96</definedName>
    <definedName name="image028jp">'Kanto 151'!$N$29</definedName>
    <definedName localSheetId="2" name="image016jp">#REF!</definedName>
    <definedName name="image059jp">'Kanto 151'!$N$60</definedName>
    <definedName localSheetId="2" name="fearowjp">#REF!</definedName>
    <definedName localSheetId="2" name="image008jp">#REF!</definedName>
    <definedName localSheetId="2" name="image045jp">#REF!</definedName>
    <definedName localSheetId="2" name="image125">#REF!</definedName>
    <definedName name="magmarjp">'Kanto 151'!$B$127</definedName>
    <definedName name="gastlyjp">'Kanto 151'!$B$93</definedName>
    <definedName name="ponyta">'Kanto 151'!$A$78</definedName>
    <definedName name="kabutops">'Kanto 151'!$A$142</definedName>
    <definedName localSheetId="2" name="machop">#REF!</definedName>
    <definedName localSheetId="2" name="image001">#REF!</definedName>
    <definedName localSheetId="2" name="image090">#REF!</definedName>
    <definedName localSheetId="2" name="staryujp">#REF!</definedName>
    <definedName localSheetId="2" name="image116">#REF!</definedName>
    <definedName localSheetId="2" name="mrmimejp">#REF!</definedName>
    <definedName localSheetId="2" name="image084">#REF!</definedName>
    <definedName name="spearowjp">'Kanto 151'!$B$22</definedName>
    <definedName name="image012">'Kanto 151'!$M$13</definedName>
    <definedName name="image140">'Kanto 151'!$M$141</definedName>
    <definedName localSheetId="2" name="image012">#REF!</definedName>
    <definedName localSheetId="2" name="ekansjp">#REF!</definedName>
    <definedName localSheetId="2" name="moltresjp">#REF!</definedName>
    <definedName localSheetId="2" name="image028">#REF!</definedName>
    <definedName name="meowth">'Kanto 151'!$A$53</definedName>
    <definedName name="cloysterjp">'Kanto 151'!$B$92</definedName>
    <definedName name="image067">'Kanto 151'!$M$68</definedName>
    <definedName name="image016jp">'Kanto 151'!$N$17</definedName>
    <definedName localSheetId="2" name="muk">#REF!</definedName>
    <definedName localSheetId="2" name="omastarjp">#REF!</definedName>
    <definedName name="image144jp">'Kanto 151'!$N$145</definedName>
    <definedName localSheetId="2" name="image126">#REF!</definedName>
    <definedName name="pidgeyjp">'Kanto 151'!$B$17</definedName>
    <definedName localSheetId="2" name="sandshrewjp">#REF!</definedName>
    <definedName name="image065jp">'Kanto 151'!$N$68</definedName>
    <definedName localSheetId="2" name="image066jp">#REF!</definedName>
    <definedName name="cloyster">'Kanto 151'!$A$92</definedName>
    <definedName localSheetId="2" name="image067">#REF!</definedName>
    <definedName name="image104jp">'Kanto 151'!$N$105</definedName>
    <definedName name="image089">'Kanto 151'!$M$90</definedName>
    <definedName localSheetId="2" name="machopjp">#REF!</definedName>
    <definedName name="jynx">'Kanto 151'!$A$125</definedName>
    <definedName localSheetId="2" name="tentacooljp">#REF!</definedName>
    <definedName name="image064">'Kanto 151'!$M$65</definedName>
    <definedName localSheetId="2" name="seakingjp">#REF!</definedName>
    <definedName name="image013">'Kanto 151'!$M$14</definedName>
    <definedName name="image014">'Kanto 151'!$M$15</definedName>
    <definedName localSheetId="2" name="pidgey">#REF!</definedName>
    <definedName name="image115">'Kanto 151'!$M$116</definedName>
    <definedName name="tentacooljp">'Kanto 151'!$B$73</definedName>
    <definedName name="eevee">'Kanto 151'!$A$134</definedName>
    <definedName localSheetId="2" name="aerodactyljp">#REF!</definedName>
    <definedName name="image150">'Kanto 151'!$M$151</definedName>
    <definedName name="image076">'Kanto 151'!$M$77</definedName>
    <definedName name="primeape">'Kanto 151'!$A$58</definedName>
    <definedName localSheetId="2" name="porygonjp">#REF!</definedName>
    <definedName name="image055jp">'Kanto 151'!$N$56</definedName>
    <definedName localSheetId="2" name="image022jp">#REF!</definedName>
    <definedName localSheetId="2" name="image080jp">#REF!</definedName>
    <definedName localSheetId="2" name="gravelerjp">#REF!</definedName>
    <definedName localSheetId="2" name="venomoth">#REF!</definedName>
    <definedName name="nidoking">'Kanto 151'!$A$35</definedName>
    <definedName name="image061">'Kanto 151'!$M$62</definedName>
    <definedName localSheetId="2" name="image064">#REF!</definedName>
    <definedName name="slowpoke">'Kanto 151'!$A$80</definedName>
    <definedName name="image089jp">'Kanto 151'!$N$90</definedName>
    <definedName localSheetId="2" name="goldeenjp">#REF!</definedName>
    <definedName name="image047jp">'Kanto 151'!$N$48</definedName>
    <definedName name="image148jp">'Kanto 151'!$N$149</definedName>
    <definedName localSheetId="2" name="image141jp">#REF!</definedName>
    <definedName localSheetId="2" name="poliwrath">#REF!</definedName>
    <definedName localSheetId="2" name="electabuzz">#REF!</definedName>
    <definedName name="sandshrewjp">'Kanto 151'!$B$28</definedName>
    <definedName localSheetId="2" name="raichujp">#REF!</definedName>
    <definedName name="image093">'Kanto 151'!$M$94</definedName>
    <definedName name="pidgeotto">'Kanto 151'!$A$18</definedName>
    <definedName name="snorlaxjp">'Kanto 151'!$B$144</definedName>
    <definedName localSheetId="2" name="pidgeottojp">#REF!</definedName>
    <definedName name="hitmonchan">'Kanto 151'!$A$108</definedName>
    <definedName name="nidoqueen">'Kanto 151'!$A$32</definedName>
    <definedName localSheetId="2" name="image099jp">#REF!</definedName>
    <definedName name="image113">'Kanto 151'!$M$114</definedName>
    <definedName localSheetId="2" name="tangela">#REF!</definedName>
    <definedName name="image009">'Kanto 151'!$M$10</definedName>
    <definedName name="caterpiejp">'Kanto 151'!$B$11</definedName>
    <definedName name="image114jp">'Kanto 151'!$N$115</definedName>
    <definedName localSheetId="2" name="golbatjp">#REF!</definedName>
    <definedName name="iamge085jp">'Kanto 151'!$N$86</definedName>
    <definedName localSheetId="2" name="image104">#REF!</definedName>
    <definedName localSheetId="2" name="image106">#REF!</definedName>
    <definedName name="jolteonjp">'Kanto 151'!$B$136</definedName>
    <definedName name="weezingjp">'Kanto 151'!$B$111</definedName>
    <definedName name="ivysaurjp">'Kanto 151'!$B$3</definedName>
    <definedName localSheetId="2" name="oddishjp">#REF!</definedName>
    <definedName name="nidorinajp">'Kanto 151'!$B$31</definedName>
    <definedName name="image138">'Kanto 151'!$M$139</definedName>
    <definedName name="image141jp">'Kanto 151'!$N$142</definedName>
    <definedName localSheetId="2" name="farfetchdjp">#REF!</definedName>
    <definedName name="nidoqueenjp">'Kanto 151'!$B$32</definedName>
    <definedName localSheetId="2" name="image064jp">#REF!</definedName>
    <definedName localSheetId="2" name="image094jp">#REF!</definedName>
    <definedName name="electrodejp">'Kanto 151'!$B$102</definedName>
    <definedName name="hitmonleejp">'Kanto 151'!$B$107</definedName>
    <definedName name="farfetchd">'Kanto 151'!$A$84</definedName>
    <definedName localSheetId="2" name="arbok">#REF!</definedName>
    <definedName name="image132">'Kanto 151'!$M$133</definedName>
    <definedName localSheetId="2" name="pikachujp">#REF!</definedName>
    <definedName name="pikachu">'Kanto 151'!$A$26</definedName>
    <definedName localSheetId="2" name="charmeleonjp">#REF!</definedName>
    <definedName localSheetId="2" name="image034">#REF!</definedName>
    <definedName localSheetId="2" name="image148jp">#REF!</definedName>
    <definedName name="ditto">'Kanto 151'!$A$133</definedName>
    <definedName localSheetId="2" name="image072jp">#REF!</definedName>
    <definedName name="dodrio">'Kanto 151'!$A$86</definedName>
    <definedName localSheetId="2" name="clefairyjp">#REF!</definedName>
    <definedName localSheetId="2" name="horseajp">#REF!</definedName>
    <definedName localSheetId="2" name="image122jp">#REF!</definedName>
    <definedName name="ninetalesjp">'Kanto 151'!$B$39</definedName>
    <definedName localSheetId="2" name="image017jp">#REF!</definedName>
    <definedName localSheetId="2" name="geodudejp">#REF!</definedName>
    <definedName localSheetId="2" name="zubat">#REF!</definedName>
    <definedName localSheetId="2" name="image136">#REF!</definedName>
    <definedName name="image058jp">'Kanto 151'!$N$59</definedName>
    <definedName localSheetId="2" name="image111">#REF!</definedName>
    <definedName name="weedle">'Kanto 151'!$A$14</definedName>
    <definedName localSheetId="2" name="paras">#REF!</definedName>
    <definedName name="image044jp">'Kanto 151'!$N$45</definedName>
    <definedName localSheetId="2" name="mankey">#REF!</definedName>
    <definedName name="image079jp">'Kanto 151'!$N$80</definedName>
    <definedName localSheetId="2" name="chansey">#REF!</definedName>
    <definedName name="image031">'Kanto 151'!$M$32</definedName>
    <definedName localSheetId="2" name="shellder">#REF!</definedName>
    <definedName name="image083">'Kanto 151'!$M$84</definedName>
    <definedName name="image133">'Kanto 151'!$M$134</definedName>
    <definedName name="image122jp">'Kanto 151'!$N$123</definedName>
    <definedName localSheetId="2" name="image093jp">#REF!</definedName>
    <definedName localSheetId="2" name="image062jp">#REF!</definedName>
    <definedName name="poliwrath">'Kanto 151'!$A$63</definedName>
    <definedName localSheetId="2" name="cubone">#REF!</definedName>
    <definedName name="image143">'Kanto 151'!$M$144</definedName>
    <definedName localSheetId="2" name="jolteonjp">#REF!</definedName>
    <definedName name="image043">'Kanto 151'!$M$44</definedName>
    <definedName name="image130">'Kanto 151'!$M$131</definedName>
    <definedName localSheetId="2" name="nidoqueenjp">#REF!</definedName>
    <definedName name="image112jp">'Kanto 151'!$N$113</definedName>
    <definedName name="mankeyjp">'Kanto 151'!$B$57</definedName>
    <definedName localSheetId="2" name="jigglypuff">#REF!</definedName>
    <definedName name="kakunajp">'Kanto 151'!$B$15</definedName>
    <definedName name="butterfreejp">'Kanto 151'!$B$13</definedName>
    <definedName name="spearow">'Kanto 151'!$A$22</definedName>
    <definedName name="image104">'Kanto 151'!$M$105</definedName>
    <definedName name="porygonjp">'Kanto 151'!$B$138</definedName>
    <definedName name="staryujp">'Kanto 151'!$B$121</definedName>
    <definedName name="image028">'Kanto 151'!$M$29</definedName>
    <definedName name="image119">'Kanto 151'!$M$120</definedName>
    <definedName name="onixjp">'Kanto 151'!$B$96</definedName>
    <definedName name="cubone">'Kanto 151'!$A$105</definedName>
    <definedName localSheetId="2" name="image068jp">#REF!</definedName>
    <definedName localSheetId="2" name="image148">#REF!</definedName>
    <definedName localSheetId="2" name="venusaurjp">#REF!</definedName>
    <definedName name="bulbasaur">'Kanto 151'!$A$2</definedName>
    <definedName localSheetId="2" name="image004">'Alt. Releases'!$M$3</definedName>
    <definedName name="nidorinojp">'Kanto 151'!$B$34</definedName>
    <definedName localSheetId="2" name="image122">#REF!</definedName>
    <definedName localSheetId="2" name="image006">#REF!</definedName>
    <definedName name="iamge076jp">'Kanto 151'!$N$77</definedName>
    <definedName name="blastoisejp">'Kanto 151'!$B$10</definedName>
    <definedName localSheetId="2" name="pidgeotjp">#REF!</definedName>
    <definedName localSheetId="2" name="image005">#REF!</definedName>
    <definedName localSheetId="2" name="image098jp">#REF!</definedName>
    <definedName localSheetId="2" name="image029jp">#REF!</definedName>
    <definedName localSheetId="2" name="image132">#REF!</definedName>
    <definedName name="jigglypuffjp">'Kanto 151'!$B$40</definedName>
    <definedName name="zapdosjp">'Kanto 151'!$B$146</definedName>
    <definedName localSheetId="2" name="pinsir">#REF!</definedName>
    <definedName localSheetId="2" name="image034jp">#REF!</definedName>
    <definedName localSheetId="2" name="image095">#REF!</definedName>
    <definedName name="image013jp">'Kanto 151'!$N$14</definedName>
    <definedName name="image073">'Kanto 151'!$M$74</definedName>
    <definedName name="rhydonjp">'Kanto 151'!$B$113</definedName>
    <definedName name="squirtle">'Kanto 151'!$A$8</definedName>
    <definedName localSheetId="2" name="tentacruel">#REF!</definedName>
    <definedName localSheetId="2" name="nidoranm">#REF!</definedName>
    <definedName name="squirtlejp">'Kanto 151'!$B$8</definedName>
    <definedName localSheetId="2" name="image020jp">#REF!</definedName>
    <definedName name="image021jp">'Kanto 151'!$N$22</definedName>
    <definedName localSheetId="2" name="wigglytuffjp">#REF!</definedName>
    <definedName name="seakingjp">'Kanto 151'!$B$120</definedName>
    <definedName name="rhyhorn">'Kanto 151'!$A$112</definedName>
    <definedName name="dragonair">'Kanto 151'!$A$149</definedName>
    <definedName name="image012jp">'Kanto 151'!$N$13</definedName>
    <definedName localSheetId="2" name="sandshrew">#REF!</definedName>
    <definedName name="image127jp">'Kanto 151'!$N$128</definedName>
    <definedName name="poliwhirljp">'Kanto 151'!$B$62</definedName>
    <definedName localSheetId="2" name="metapod">#REF!</definedName>
    <definedName localSheetId="2" name="image036">#REF!</definedName>
    <definedName localSheetId="2" name="image150">#REF!</definedName>
    <definedName localSheetId="2" name="snorlaxjp">#REF!</definedName>
    <definedName name="image040jp">'Kanto 151'!$N$41</definedName>
    <definedName name="dratinijp">'Kanto 151'!$B$148</definedName>
    <definedName localSheetId="2" name="ponyta">#REF!</definedName>
    <definedName localSheetId="2" name="image106jp">#REF!</definedName>
    <definedName localSheetId="2" name="dugtrio">#REF!</definedName>
    <definedName name="ponytajp">'Kanto 151'!$B$78</definedName>
    <definedName name="graveler">'Kanto 151'!$A$76</definedName>
    <definedName localSheetId="2" name="image115">#REF!</definedName>
    <definedName name="image001">'Kanto 151'!$M$2</definedName>
    <definedName name="charizardjp">'Kanto 151'!$B$7</definedName>
    <definedName localSheetId="2" name="image115jp">#REF!</definedName>
    <definedName localSheetId="2" name="image036jp">#REF!</definedName>
    <definedName localSheetId="2" name="articunojp">#REF!</definedName>
    <definedName name="image126jp">'Kanto 151'!$N$127</definedName>
    <definedName name="dratini">'Kanto 151'!$A$148</definedName>
    <definedName localSheetId="2" name="vaporeon">#REF!</definedName>
    <definedName localSheetId="2" name="image120jp">#REF!</definedName>
    <definedName localSheetId="2" name="image009">#REF!</definedName>
    <definedName localSheetId="2" name="image114jp">#REF!</definedName>
    <definedName localSheetId="2" name="nidoranmjp">#REF!</definedName>
    <definedName localSheetId="2" name="alakazam">#REF!</definedName>
    <definedName name="image130jp">'Kanto 151'!$N$131</definedName>
    <definedName name="image007">'Kanto 151'!$M$8</definedName>
    <definedName name="image092jp">'Kanto 151'!$N$93</definedName>
    <definedName name="image151">'Kanto 151'!$M$152</definedName>
    <definedName localSheetId="2" name="image023">#REF!</definedName>
    <definedName name="golemjp">'Kanto 151'!$B$77</definedName>
    <definedName name="moltres">'Kanto 151'!$A$147</definedName>
    <definedName localSheetId="2" name="parasect">#REF!</definedName>
    <definedName localSheetId="2" name="scytherjp">#REF!</definedName>
    <definedName localSheetId="2" name="image023jp">#REF!</definedName>
    <definedName name="exeggutorjp">'Kanto 151'!$B$104</definedName>
    <definedName name="grimerjp">'Kanto 151'!$B$89</definedName>
    <definedName localSheetId="2" name="abrajp">#REF!</definedName>
    <definedName localSheetId="2" name="magmarjp">#REF!</definedName>
    <definedName localSheetId="2" name="image074">#REF!</definedName>
    <definedName name="image033">'Kanto 151'!$M$34</definedName>
    <definedName name="golbat">'Kanto 151'!$A$43</definedName>
    <definedName name="lickitung">'Kanto 151'!$A$109</definedName>
    <definedName localSheetId="2" name="hitmonchan">#REF!</definedName>
    <definedName name="image127">'Kanto 151'!$M$128</definedName>
    <definedName localSheetId="2" name="image142jp">#REF!</definedName>
    <definedName name="nidokingjp">'Kanto 151'!$B$35</definedName>
    <definedName localSheetId="2" name="image058jp">#REF!</definedName>
    <definedName localSheetId="2" name="image098">#REF!</definedName>
    <definedName localSheetId="2" name="grimerjp">#REF!</definedName>
    <definedName localSheetId="2" name="primeapejp">#REF!</definedName>
    <definedName localSheetId="2" name="image003">#REF!</definedName>
    <definedName localSheetId="2" name="image140jp">#REF!</definedName>
    <definedName name="psyduckjp">'Kanto 151'!$B$55</definedName>
    <definedName name="image030jp">'Kanto 151'!$N$31</definedName>
    <definedName name="golduckjp">'Kanto 151'!$B$56</definedName>
    <definedName localSheetId="2" name="gengarjp">#REF!</definedName>
    <definedName name="starmie">'Kanto 151'!$A$122</definedName>
    <definedName localSheetId="2" name="seel">#REF!</definedName>
    <definedName localSheetId="2" name="mukjp">#REF!</definedName>
    <definedName localSheetId="2" name="image108jp">#REF!</definedName>
    <definedName name="dodriojp">'Kanto 151'!$B$86</definedName>
    <definedName name="image074">'Kanto 151'!$M$75</definedName>
    <definedName localSheetId="2" name="koffingjp">#REF!</definedName>
    <definedName localSheetId="2" name="tangelajp">#REF!</definedName>
    <definedName name="image141">'Kanto 151'!$M$142</definedName>
    <definedName localSheetId="2" name="clefablejp">#REF!</definedName>
    <definedName name="venusaur">'Kanto 151'!$A$4</definedName>
    <definedName name="image081">'Kanto 151'!$M$82</definedName>
    <definedName name="image115jp">'Kanto 151'!$N$116</definedName>
    <definedName localSheetId="2" name="image104jp">#REF!</definedName>
    <definedName name="image142jp">'Kanto 151'!$N$143</definedName>
    <definedName localSheetId="2" name="bulbasaur">#REF!</definedName>
    <definedName localSheetId="2" name="image123jp">#REF!</definedName>
    <definedName name="arbokjp">'Kanto 151'!$B$25</definedName>
    <definedName localSheetId="2" name="parasectjp">#REF!</definedName>
    <definedName name="image086jp">'Kanto 151'!$N$87</definedName>
    <definedName localSheetId="2" name="image118jp">#REF!</definedName>
    <definedName name="image103jp">'Kanto 151'!$N$104</definedName>
    <definedName name="growlithe">'Kanto 151'!$A$59</definedName>
    <definedName localSheetId="2" name="image063jp">#REF!</definedName>
    <definedName name="image117jp">'Kanto 151'!$N$118</definedName>
    <definedName name="image118">'Kanto 151'!$M$119</definedName>
    <definedName name="raichu">'Kanto 151'!$A$27</definedName>
    <definedName localSheetId="2" name="image138">#REF!</definedName>
    <definedName name="bellsproutjp">'Kanto 151'!$B$70</definedName>
    <definedName localSheetId="2" name="machamp">#REF!</definedName>
    <definedName localSheetId="2" name="image055jp">#REF!</definedName>
    <definedName name="image140jp">'Kanto 151'!$N$141</definedName>
    <definedName name="mankey">'Kanto 151'!$A$57</definedName>
    <definedName name="seadrajp">'Kanto 151'!$B$118</definedName>
    <definedName localSheetId="2" name="exeggcutejp">#REF!</definedName>
    <definedName name="vulpixjp">'Kanto 151'!$B$38</definedName>
    <definedName localSheetId="2" name="image117">#REF!</definedName>
    <definedName name="fearowjp">'Kanto 151'!$B$23</definedName>
    <definedName localSheetId="2" name="machokejp">#REF!</definedName>
    <definedName name="image123jp">'Kanto 151'!$N$124</definedName>
    <definedName name="image035">'Kanto 151'!$M$36</definedName>
    <definedName name="magikarpjp">'Kanto 151'!$B$130</definedName>
    <definedName name="lickitungjp">'Kanto 151'!$B$109</definedName>
    <definedName localSheetId="2" name="koffing">#REF!</definedName>
    <definedName name="vileplume">'Kanto 151'!$A$46</definedName>
    <definedName localSheetId="2" name="image103jp">#REF!</definedName>
    <definedName localSheetId="2" name="image061jp">#REF!</definedName>
    <definedName localSheetId="2" name="rhyhornjp">#REF!</definedName>
    <definedName name="image079">'Kanto 151'!$M$80</definedName>
    <definedName localSheetId="2" name="image014jp">#REF!</definedName>
    <definedName localSheetId="2" name="shellderjp">#REF!</definedName>
    <definedName localSheetId="2" name="rattatajp">#REF!</definedName>
    <definedName name="image073jp">'Kanto 151'!$N$74</definedName>
    <definedName name="weepinbelljp">'Kanto 151'!$B$71</definedName>
    <definedName localSheetId="2" name="image060">#REF!</definedName>
    <definedName localSheetId="2" name="clefable">#REF!</definedName>
    <definedName localSheetId="2" name="dratinijp">#REF!</definedName>
    <definedName name="image039jp">'Kanto 151'!$N$40</definedName>
    <definedName localSheetId="2" name="squirtlejp">#REF!</definedName>
    <definedName localSheetId="2" name="bulbasaurjp">#REF!</definedName>
    <definedName name="image133jp">'Kanto 151'!$N$134</definedName>
    <definedName localSheetId="2" name="image111jp">#REF!</definedName>
    <definedName localSheetId="2" name="image051jp">#REF!</definedName>
    <definedName localSheetId="2" name="haunterjp">#REF!</definedName>
    <definedName name="image084jp">'Kanto 151'!$N$85</definedName>
    <definedName localSheetId="2" name="magnemitejp">#REF!</definedName>
    <definedName name="koffing">'Kanto 151'!$A$110</definedName>
    <definedName localSheetId="2" name="mewjp">#REF!</definedName>
    <definedName name="image009jp">'Kanto 151'!$N$10</definedName>
    <definedName localSheetId="2" name="image065">#REF!</definedName>
    <definedName localSheetId="2" name="charmander">#REF!</definedName>
    <definedName localSheetId="2" name="pidgeotto">#REF!</definedName>
    <definedName name="marowak">'Kanto 151'!$A$106</definedName>
    <definedName localSheetId="2" name="poliwag">#REF!</definedName>
    <definedName localSheetId="2" name="image137jp">#REF!</definedName>
    <definedName name="image085">'Kanto 151'!$M$86</definedName>
    <definedName localSheetId="2" name="image024">#REF!</definedName>
    <definedName localSheetId="2" name="image133">#REF!</definedName>
    <definedName name="clefairy">'Kanto 151'!$A$36</definedName>
    <definedName name="omanytejp">'Kanto 151'!$B$139</definedName>
    <definedName localSheetId="2" name="sandslash">#REF!</definedName>
    <definedName localSheetId="2" name="image002jp">#REF!</definedName>
    <definedName localSheetId="2" name="image043">#REF!</definedName>
    <definedName localSheetId="2" name="image086jp">#REF!</definedName>
    <definedName name="image001jp">'Kanto 151'!$N$2</definedName>
    <definedName localSheetId="2" name="spearow">#REF!</definedName>
    <definedName name="seeljp">'Kanto 151'!$B$87</definedName>
    <definedName name="scyther">'Kanto 151'!$A$124</definedName>
    <definedName name="image082">'Kanto 151'!$M$83</definedName>
    <definedName name="image119jp">'Kanto 151'!$N$120</definedName>
    <definedName name="image101">'Kanto 151'!$M$102</definedName>
    <definedName localSheetId="2" name="lickitung">#REF!</definedName>
    <definedName name="image095">'Kanto 151'!$M$96</definedName>
    <definedName name="image056">'Kanto 151'!$M$57</definedName>
    <definedName localSheetId="2" name="image094">#REF!</definedName>
    <definedName localSheetId="2" name="omanytejp">#REF!</definedName>
    <definedName name="image109">'Kanto 151'!$M$110</definedName>
    <definedName name="image151jp">'Kanto 151'!$N$152</definedName>
    <definedName localSheetId="2" name="eeveejp">#REF!</definedName>
    <definedName name="image101jp">'Kanto 151'!$N$102</definedName>
    <definedName name="image128">'Kanto 151'!$M$129</definedName>
    <definedName name="voltorb">'Kanto 151'!$A$101</definedName>
    <definedName localSheetId="2" name="porygon">#REF!</definedName>
    <definedName name="machop">'Kanto 151'!$A$67</definedName>
    <definedName name="nidorina">'Kanto 151'!$A$31</definedName>
    <definedName name="pidgey">'Kanto 151'!$A$17</definedName>
    <definedName name="aerodactyl">'Kanto 151'!$A$143</definedName>
    <definedName localSheetId="2" name="kabutopsjp">#REF!</definedName>
    <definedName name="iamge060jp">'Kanto 151'!$N$61</definedName>
    <definedName name="image002jp">'Kanto 151'!$N$3</definedName>
    <definedName localSheetId="2" name="image145jp">#REF!</definedName>
    <definedName localSheetId="2" name="image044jp">#REF!</definedName>
    <definedName localSheetId="2" name="image149jp">#REF!</definedName>
    <definedName localSheetId="2" name="dewgongjp">#REF!</definedName>
    <definedName localSheetId="2" name="image099">#REF!</definedName>
    <definedName name="fearow">'Kanto 151'!$A$23</definedName>
    <definedName name="image025">'Kanto 151'!$M$26</definedName>
    <definedName localSheetId="2" name="image027">#REF!</definedName>
    <definedName name="parasjp">'Kanto 151'!$B$47</definedName>
    <definedName localSheetId="2" name="pinsirjp">#REF!</definedName>
    <definedName localSheetId="2" name="golem">#REF!</definedName>
    <definedName name="image065">'Kanto 151'!$M$66</definedName>
    <definedName localSheetId="2" name="exeggcute">#REF!</definedName>
    <definedName name="machoke">'Kanto 151'!$A$68</definedName>
    <definedName name="vulpix">'Kanto 151'!$A$38</definedName>
    <definedName name="gengarjp">'Kanto 151'!$B$95</definedName>
    <definedName name="image147">'Kanto 151'!$M$148</definedName>
    <definedName name="image077">'Kanto 151'!$M$78</definedName>
    <definedName name="dewgongjp">'Kanto 151'!$B$88</definedName>
    <definedName localSheetId="2" name="electrode">#REF!</definedName>
    <definedName name="image121jp">'Kanto 151'!$N$122</definedName>
    <definedName localSheetId="2" name="flareonjp">#REF!</definedName>
    <definedName localSheetId="2" name="image127jp">#REF!</definedName>
    <definedName name="horsea">'Kanto 151'!$A$117</definedName>
    <definedName hidden="1" localSheetId="1" name="_xlnm._FilterDatabase">'Binder View'!$F$1:$H$4</definedName>
  </definedNames>
  <calcPr/>
</workbook>
</file>

<file path=xl/sharedStrings.xml><?xml version="1.0" encoding="utf-8"?>
<sst xmlns="http://schemas.openxmlformats.org/spreadsheetml/2006/main" count="1277" uniqueCount="697">
  <si>
    <t>E</t>
  </si>
  <si>
    <t>J</t>
  </si>
  <si>
    <t>#</t>
  </si>
  <si>
    <t>Pokemon</t>
  </si>
  <si>
    <t>Variant</t>
  </si>
  <si>
    <t>EN Set</t>
  </si>
  <si>
    <t>JP Set</t>
  </si>
  <si>
    <t>Artist</t>
  </si>
  <si>
    <t>Image</t>
  </si>
  <si>
    <t>Price Paid (EN)</t>
  </si>
  <si>
    <t>Price Paid (JP)</t>
  </si>
  <si>
    <t>Notes</t>
  </si>
  <si>
    <t>001</t>
  </si>
  <si>
    <t>Bulbasaur</t>
  </si>
  <si>
    <t>N/A</t>
  </si>
  <si>
    <t>Scarlet &amp; Violet - 151</t>
  </si>
  <si>
    <t>166/165</t>
  </si>
  <si>
    <t>SV2a - Pokemon Card 151</t>
  </si>
  <si>
    <t>Yoriyuki Ikegami</t>
  </si>
  <si>
    <t>002</t>
  </si>
  <si>
    <t>Ivysaur</t>
  </si>
  <si>
    <t>167/165</t>
  </si>
  <si>
    <t>003</t>
  </si>
  <si>
    <t>Venusaur</t>
  </si>
  <si>
    <t>ex</t>
  </si>
  <si>
    <t>182/165</t>
  </si>
  <si>
    <t>004</t>
  </si>
  <si>
    <t>Charmander</t>
  </si>
  <si>
    <t>168/165</t>
  </si>
  <si>
    <t>miki kudo</t>
  </si>
  <si>
    <t>005</t>
  </si>
  <si>
    <t>Charmeleon</t>
  </si>
  <si>
    <t>169/165</t>
  </si>
  <si>
    <t>006</t>
  </si>
  <si>
    <t>Charizard</t>
  </si>
  <si>
    <t>199/165</t>
  </si>
  <si>
    <t>007</t>
  </si>
  <si>
    <t>Squirtle</t>
  </si>
  <si>
    <t>170/165</t>
  </si>
  <si>
    <t>Mitsuhiro Arita</t>
  </si>
  <si>
    <t>008</t>
  </si>
  <si>
    <t>Wartortle</t>
  </si>
  <si>
    <t>171/165</t>
  </si>
  <si>
    <t>009</t>
  </si>
  <si>
    <t>Blastoise</t>
  </si>
  <si>
    <t>200/165</t>
  </si>
  <si>
    <t>010</t>
  </si>
  <si>
    <t>Caterpie</t>
  </si>
  <si>
    <t>172/165</t>
  </si>
  <si>
    <t>Teeziro</t>
  </si>
  <si>
    <t>011</t>
  </si>
  <si>
    <t>Metapod</t>
  </si>
  <si>
    <t>012</t>
  </si>
  <si>
    <t>Butterfree</t>
  </si>
  <si>
    <t>013</t>
  </si>
  <si>
    <t>Weedle</t>
  </si>
  <si>
    <t>014</t>
  </si>
  <si>
    <t>Kakuna</t>
  </si>
  <si>
    <t>015</t>
  </si>
  <si>
    <t>Beedrill</t>
  </si>
  <si>
    <t>V</t>
  </si>
  <si>
    <t>Sword &amp; Shield - Astral Radiance</t>
  </si>
  <si>
    <t>161/189</t>
  </si>
  <si>
    <t>S10P - Space Juggler</t>
  </si>
  <si>
    <t>069/067</t>
  </si>
  <si>
    <t>Narumi Sato</t>
  </si>
  <si>
    <t>016</t>
  </si>
  <si>
    <t>Pidgey</t>
  </si>
  <si>
    <t>Scarlet &amp; Violet - Obsidian Flames</t>
  </si>
  <si>
    <t>207/197</t>
  </si>
  <si>
    <t>SV3 - Ruler of the Black Flame</t>
  </si>
  <si>
    <t>118/108</t>
  </si>
  <si>
    <t>Jerky</t>
  </si>
  <si>
    <t>017</t>
  </si>
  <si>
    <t>Pidgeotto</t>
  </si>
  <si>
    <t>208/197</t>
  </si>
  <si>
    <t>119/108</t>
  </si>
  <si>
    <t>018</t>
  </si>
  <si>
    <t>Pidgeot</t>
  </si>
  <si>
    <t>225/197</t>
  </si>
  <si>
    <t>136/108</t>
  </si>
  <si>
    <t>019</t>
  </si>
  <si>
    <t>Rattata</t>
  </si>
  <si>
    <t>020</t>
  </si>
  <si>
    <t>Team Rocket's</t>
  </si>
  <si>
    <t>Raticate</t>
  </si>
  <si>
    <t>Scarlet &amp; Violet - Destined Rivals</t>
  </si>
  <si>
    <t>202/182</t>
  </si>
  <si>
    <t>SV10 - Glory of Team Rocket</t>
  </si>
  <si>
    <t>108/098</t>
  </si>
  <si>
    <t>Mekayu</t>
  </si>
  <si>
    <t>021</t>
  </si>
  <si>
    <t>Spearow</t>
  </si>
  <si>
    <t>022</t>
  </si>
  <si>
    <t xml:space="preserve">Fearow </t>
  </si>
  <si>
    <t>023</t>
  </si>
  <si>
    <t>Ekans</t>
  </si>
  <si>
    <t>024</t>
  </si>
  <si>
    <t>Arbok</t>
  </si>
  <si>
    <t>Scarlet &amp; Violet - Temporal Forces</t>
  </si>
  <si>
    <t>176/162</t>
  </si>
  <si>
    <t>SV5K - Wild Force</t>
  </si>
  <si>
    <t>079/071</t>
  </si>
  <si>
    <t>OKUBO</t>
  </si>
  <si>
    <t>025</t>
  </si>
  <si>
    <t>Pikachu</t>
  </si>
  <si>
    <t>173/165</t>
  </si>
  <si>
    <t>Hiroyuki Yamamoto</t>
  </si>
  <si>
    <t>026</t>
  </si>
  <si>
    <t>Raichu</t>
  </si>
  <si>
    <t>Scarlet &amp; Violet - Paldea Evolved</t>
  </si>
  <si>
    <t>211/193</t>
  </si>
  <si>
    <t>SV2D - Clay Burst</t>
  </si>
  <si>
    <t>074/071</t>
  </si>
  <si>
    <t>Toahinao Aoki</t>
  </si>
  <si>
    <t>027</t>
  </si>
  <si>
    <t>Sandshrew</t>
  </si>
  <si>
    <t>028</t>
  </si>
  <si>
    <t>Sandslash</t>
  </si>
  <si>
    <t>029</t>
  </si>
  <si>
    <t>Nidoran ♀</t>
  </si>
  <si>
    <t>030</t>
  </si>
  <si>
    <t>Nidorina</t>
  </si>
  <si>
    <t>031</t>
  </si>
  <si>
    <t>Nidoqueen</t>
  </si>
  <si>
    <t>032</t>
  </si>
  <si>
    <t>Nidoran ♂</t>
  </si>
  <si>
    <t>033</t>
  </si>
  <si>
    <t>Nidorino</t>
  </si>
  <si>
    <t>034</t>
  </si>
  <si>
    <t>Nidoking</t>
  </si>
  <si>
    <t>174/165</t>
  </si>
  <si>
    <t>Misaki Hashimoto</t>
  </si>
  <si>
    <t>035</t>
  </si>
  <si>
    <t>Lillie's</t>
  </si>
  <si>
    <t>Clefairy</t>
  </si>
  <si>
    <t>Scarlet &amp; Violet - Journey Together</t>
  </si>
  <si>
    <t>184/159</t>
  </si>
  <si>
    <t>SV9 - Battle Partners</t>
  </si>
  <si>
    <t>126/100</t>
  </si>
  <si>
    <t>Susumu Maeya</t>
  </si>
  <si>
    <t>036</t>
  </si>
  <si>
    <t>Clefable</t>
  </si>
  <si>
    <t>037</t>
  </si>
  <si>
    <t>Vulpix</t>
  </si>
  <si>
    <t>038</t>
  </si>
  <si>
    <t>Ninetales</t>
  </si>
  <si>
    <t>199/197</t>
  </si>
  <si>
    <t>110/108</t>
  </si>
  <si>
    <t>SIE NANAHARA</t>
  </si>
  <si>
    <t>039</t>
  </si>
  <si>
    <t>Scream Tail</t>
  </si>
  <si>
    <t>Paradox</t>
  </si>
  <si>
    <t>Scarlet &amp; Violet - Promo</t>
  </si>
  <si>
    <t>SVP065</t>
  </si>
  <si>
    <t>SV4K - Ancient Roar</t>
  </si>
  <si>
    <t>77/70</t>
  </si>
  <si>
    <t>GIDORA</t>
  </si>
  <si>
    <t>040</t>
  </si>
  <si>
    <t>Wigglytuff</t>
  </si>
  <si>
    <t>041</t>
  </si>
  <si>
    <t>Zubat</t>
  </si>
  <si>
    <t>042</t>
  </si>
  <si>
    <t>Golbat</t>
  </si>
  <si>
    <t>043</t>
  </si>
  <si>
    <t>Oddish</t>
  </si>
  <si>
    <t>044</t>
  </si>
  <si>
    <t>Gloom</t>
  </si>
  <si>
    <t>198/197</t>
  </si>
  <si>
    <t>109/108</t>
  </si>
  <si>
    <t>Masako Tomii</t>
  </si>
  <si>
    <t>045</t>
  </si>
  <si>
    <t>Vileplume</t>
  </si>
  <si>
    <t>046</t>
  </si>
  <si>
    <t>Paras</t>
  </si>
  <si>
    <t>Sword &amp; Shield - Crown Zenith</t>
  </si>
  <si>
    <t>GG32/GG70</t>
  </si>
  <si>
    <t>S12A - VSTAR Universe</t>
  </si>
  <si>
    <t>207/172</t>
  </si>
  <si>
    <t>Kouki Saitou</t>
  </si>
  <si>
    <t>047</t>
  </si>
  <si>
    <t>Parasect</t>
  </si>
  <si>
    <t>Sword &amp; Shield - Lost Origin</t>
  </si>
  <si>
    <t>TG01/TG30</t>
  </si>
  <si>
    <t>S10A - Dark Phantasma</t>
  </si>
  <si>
    <t>72/71</t>
  </si>
  <si>
    <t>Oswaldo KATO</t>
  </si>
  <si>
    <t>048</t>
  </si>
  <si>
    <t>Venonat</t>
  </si>
  <si>
    <t>049</t>
  </si>
  <si>
    <t>Venomoth</t>
  </si>
  <si>
    <t>050</t>
  </si>
  <si>
    <t>Wiglett</t>
  </si>
  <si>
    <t>Convergent</t>
  </si>
  <si>
    <t>Scarlet &amp; Violet - Base Set</t>
  </si>
  <si>
    <t>206/198</t>
  </si>
  <si>
    <t>SV1S - Scarlet ex</t>
  </si>
  <si>
    <t>081/078</t>
  </si>
  <si>
    <t>You Iribi</t>
  </si>
  <si>
    <t>051</t>
  </si>
  <si>
    <t>Alolan</t>
  </si>
  <si>
    <t>Dugtrio</t>
  </si>
  <si>
    <t>Regional</t>
  </si>
  <si>
    <t>Scarlet &amp; Violet - Surging Sparks</t>
  </si>
  <si>
    <t>208/191</t>
  </si>
  <si>
    <t>SV8 - Super Electric Breaker</t>
  </si>
  <si>
    <t>116/106</t>
  </si>
  <si>
    <t>Yukihiro Tada</t>
  </si>
  <si>
    <t>052</t>
  </si>
  <si>
    <t>Meowth</t>
  </si>
  <si>
    <t>203/182</t>
  </si>
  <si>
    <t>109/098</t>
  </si>
  <si>
    <t>Shimaris Yukichi</t>
  </si>
  <si>
    <t>053</t>
  </si>
  <si>
    <t>Persian</t>
  </si>
  <si>
    <t>Scarlet &amp; Violet - Shrouded Fable</t>
  </si>
  <si>
    <t>078/064</t>
  </si>
  <si>
    <t>SV6a - Night Wanderer</t>
  </si>
  <si>
    <t>075/064</t>
  </si>
  <si>
    <t>Whisker</t>
  </si>
  <si>
    <t>054</t>
  </si>
  <si>
    <t>Psyduck</t>
  </si>
  <si>
    <t>175/165</t>
  </si>
  <si>
    <t>055</t>
  </si>
  <si>
    <t>Golduck</t>
  </si>
  <si>
    <t>056</t>
  </si>
  <si>
    <t>Mankey</t>
  </si>
  <si>
    <t>057</t>
  </si>
  <si>
    <t>Primeape</t>
  </si>
  <si>
    <t>058</t>
  </si>
  <si>
    <t>Hisuian</t>
  </si>
  <si>
    <t>Growlithe</t>
  </si>
  <si>
    <t>Scarlet &amp; Violet - Twilight Masquerade</t>
  </si>
  <si>
    <t>181/167</t>
  </si>
  <si>
    <t>SV5a - Crimson Haze</t>
  </si>
  <si>
    <t>075/066</t>
  </si>
  <si>
    <t>059</t>
  </si>
  <si>
    <t>Arcanine</t>
  </si>
  <si>
    <t>TG08/TG30</t>
  </si>
  <si>
    <t>S10a - Dark Phantasma</t>
  </si>
  <si>
    <t>75/71</t>
  </si>
  <si>
    <t>060</t>
  </si>
  <si>
    <t>Poliwag</t>
  </si>
  <si>
    <t>061</t>
  </si>
  <si>
    <t>Poliwhirl</t>
  </si>
  <si>
    <t>176/165</t>
  </si>
  <si>
    <t>Gemi</t>
  </si>
  <si>
    <t>062</t>
  </si>
  <si>
    <t>Poliwrath</t>
  </si>
  <si>
    <t>063</t>
  </si>
  <si>
    <t>Abra</t>
  </si>
  <si>
    <t>064</t>
  </si>
  <si>
    <t>Kadabra</t>
  </si>
  <si>
    <t>065</t>
  </si>
  <si>
    <t>Alakazam</t>
  </si>
  <si>
    <t>201/165</t>
  </si>
  <si>
    <t>Shinya Komatsu</t>
  </si>
  <si>
    <t>066</t>
  </si>
  <si>
    <t>Machop</t>
  </si>
  <si>
    <t>067</t>
  </si>
  <si>
    <t>Machoke</t>
  </si>
  <si>
    <t>177/165</t>
  </si>
  <si>
    <t>Tetsu Kayama</t>
  </si>
  <si>
    <t>068</t>
  </si>
  <si>
    <t>Machamp</t>
  </si>
  <si>
    <t>172/189</t>
  </si>
  <si>
    <t>S10D - Time Gazer</t>
  </si>
  <si>
    <t>73/67</t>
  </si>
  <si>
    <t>069</t>
  </si>
  <si>
    <t>Bellsprout</t>
  </si>
  <si>
    <t>070</t>
  </si>
  <si>
    <t>Weepinbell</t>
  </si>
  <si>
    <t>071</t>
  </si>
  <si>
    <t>Victreebel</t>
  </si>
  <si>
    <t>072</t>
  </si>
  <si>
    <t>Toedscool</t>
  </si>
  <si>
    <t>201/198</t>
  </si>
  <si>
    <t>SV1V - Violet ex</t>
  </si>
  <si>
    <t>080/078</t>
  </si>
  <si>
    <t>Akira Komayama</t>
  </si>
  <si>
    <t>073</t>
  </si>
  <si>
    <t>Toedscruel</t>
  </si>
  <si>
    <t>Scarlet &amp; Violet - Paradox Rift</t>
  </si>
  <si>
    <t>185/182</t>
  </si>
  <si>
    <t>SV4M - Future Flash</t>
  </si>
  <si>
    <t>068/066</t>
  </si>
  <si>
    <t>KEIICHIRO ITO</t>
  </si>
  <si>
    <t>074</t>
  </si>
  <si>
    <t>Geodude</t>
  </si>
  <si>
    <t>075</t>
  </si>
  <si>
    <t>Graveler</t>
  </si>
  <si>
    <t>076</t>
  </si>
  <si>
    <t>Golem</t>
  </si>
  <si>
    <t>077</t>
  </si>
  <si>
    <t>Ponyta</t>
  </si>
  <si>
    <t>078</t>
  </si>
  <si>
    <t>Rapidash</t>
  </si>
  <si>
    <t>189/182</t>
  </si>
  <si>
    <t>SV9a - Heat Wave Arena</t>
  </si>
  <si>
    <t>069/063</t>
  </si>
  <si>
    <t>Rond</t>
  </si>
  <si>
    <t>079</t>
  </si>
  <si>
    <t>Slowpoke</t>
  </si>
  <si>
    <t>204/198</t>
  </si>
  <si>
    <t>082/078</t>
  </si>
  <si>
    <t>Toshinao Aoki</t>
  </si>
  <si>
    <t>080</t>
  </si>
  <si>
    <t>Slowbro</t>
  </si>
  <si>
    <t>081</t>
  </si>
  <si>
    <t>Magnemite</t>
  </si>
  <si>
    <t>Sun &amp; Moon - Cosmic Eclipse</t>
  </si>
  <si>
    <t>242/236</t>
  </si>
  <si>
    <t>SM11b - Dream League</t>
  </si>
  <si>
    <t>055/049</t>
  </si>
  <si>
    <t>Funke Kittaka</t>
  </si>
  <si>
    <t>082</t>
  </si>
  <si>
    <t>Magneton</t>
  </si>
  <si>
    <t>SVP159</t>
  </si>
  <si>
    <t>112/106</t>
  </si>
  <si>
    <t>Shinji Kanda</t>
  </si>
  <si>
    <t>083</t>
  </si>
  <si>
    <t>Farfetch'd</t>
  </si>
  <si>
    <t>084</t>
  </si>
  <si>
    <t>Doduo</t>
  </si>
  <si>
    <t>085</t>
  </si>
  <si>
    <t>Dodrio</t>
  </si>
  <si>
    <t>086</t>
  </si>
  <si>
    <t>Seel</t>
  </si>
  <si>
    <t>087</t>
  </si>
  <si>
    <t>Dewgong</t>
  </si>
  <si>
    <t>088</t>
  </si>
  <si>
    <t>Grimer</t>
  </si>
  <si>
    <t>089</t>
  </si>
  <si>
    <t>Muk</t>
  </si>
  <si>
    <t>090</t>
  </si>
  <si>
    <t>Shellder</t>
  </si>
  <si>
    <t>091</t>
  </si>
  <si>
    <t>Cloyster</t>
  </si>
  <si>
    <t>092</t>
  </si>
  <si>
    <t>Gastly</t>
  </si>
  <si>
    <t>177/162</t>
  </si>
  <si>
    <t>080/071</t>
  </si>
  <si>
    <t>Mousho</t>
  </si>
  <si>
    <t>093</t>
  </si>
  <si>
    <t>Haunter</t>
  </si>
  <si>
    <t>094</t>
  </si>
  <si>
    <t>Gengar</t>
  </si>
  <si>
    <t>TG06/TG30</t>
  </si>
  <si>
    <t>74/71</t>
  </si>
  <si>
    <t>095</t>
  </si>
  <si>
    <t>Onix</t>
  </si>
  <si>
    <t>096</t>
  </si>
  <si>
    <t>Drowzee</t>
  </si>
  <si>
    <t>210/198</t>
  </si>
  <si>
    <t>086/078</t>
  </si>
  <si>
    <t>Tomokazu Komiya</t>
  </si>
  <si>
    <t>097</t>
  </si>
  <si>
    <t>Hypno</t>
  </si>
  <si>
    <t>098</t>
  </si>
  <si>
    <t>Krabby</t>
  </si>
  <si>
    <t>099</t>
  </si>
  <si>
    <t>Kingler</t>
  </si>
  <si>
    <t>100</t>
  </si>
  <si>
    <t>Voltorb</t>
  </si>
  <si>
    <t>GG01/GG70</t>
  </si>
  <si>
    <t>173/172</t>
  </si>
  <si>
    <t>HYOGONOSUKE</t>
  </si>
  <si>
    <t>101</t>
  </si>
  <si>
    <t>Electrode</t>
  </si>
  <si>
    <t>102</t>
  </si>
  <si>
    <t>Exeggcute</t>
  </si>
  <si>
    <t>192/191</t>
  </si>
  <si>
    <t>SV7A - Paradise Dragona</t>
  </si>
  <si>
    <t>65/64</t>
  </si>
  <si>
    <t>Yuriko Akase</t>
  </si>
  <si>
    <t>103</t>
  </si>
  <si>
    <t>Exeggutor</t>
  </si>
  <si>
    <t>GX</t>
  </si>
  <si>
    <t>Sun &amp; Moon - Unified Minds</t>
  </si>
  <si>
    <t>215/236</t>
  </si>
  <si>
    <t>SM10B - Sky Legend</t>
  </si>
  <si>
    <t>56/54</t>
  </si>
  <si>
    <t>Nooyo Kimura</t>
  </si>
  <si>
    <t>104</t>
  </si>
  <si>
    <t>Cubone</t>
  </si>
  <si>
    <t>105</t>
  </si>
  <si>
    <t>Marowak</t>
  </si>
  <si>
    <t>106</t>
  </si>
  <si>
    <t>Hitmonlee</t>
  </si>
  <si>
    <t>107</t>
  </si>
  <si>
    <t>Hitmonchan</t>
  </si>
  <si>
    <t>108</t>
  </si>
  <si>
    <t>Lickitung</t>
  </si>
  <si>
    <t>180/162</t>
  </si>
  <si>
    <t>SV5M - Cyber Judge</t>
  </si>
  <si>
    <t>082/071</t>
  </si>
  <si>
    <t>Orca</t>
  </si>
  <si>
    <t>109</t>
  </si>
  <si>
    <t>Koffing</t>
  </si>
  <si>
    <t>243/236</t>
  </si>
  <si>
    <t>056/049</t>
  </si>
  <si>
    <t>110</t>
  </si>
  <si>
    <t>Weezing</t>
  </si>
  <si>
    <t>199/182</t>
  </si>
  <si>
    <t>105/098</t>
  </si>
  <si>
    <t>111</t>
  </si>
  <si>
    <t>Rhyhorn</t>
  </si>
  <si>
    <t>112</t>
  </si>
  <si>
    <t>Rhydon</t>
  </si>
  <si>
    <t>113</t>
  </si>
  <si>
    <t>Chansey</t>
  </si>
  <si>
    <t>187/167</t>
  </si>
  <si>
    <t>SV6 - Mask of Change</t>
  </si>
  <si>
    <t>113/101</t>
  </si>
  <si>
    <t>114</t>
  </si>
  <si>
    <t>Tangela</t>
  </si>
  <si>
    <t>178/165</t>
  </si>
  <si>
    <t>115</t>
  </si>
  <si>
    <t>Kangaskhan</t>
  </si>
  <si>
    <t>204/182</t>
  </si>
  <si>
    <t>110/098</t>
  </si>
  <si>
    <t>116</t>
  </si>
  <si>
    <t>Horsea</t>
  </si>
  <si>
    <t>067/064</t>
  </si>
  <si>
    <t>117</t>
  </si>
  <si>
    <t>Seadra</t>
  </si>
  <si>
    <t>118</t>
  </si>
  <si>
    <t>Goldeen</t>
  </si>
  <si>
    <t>119</t>
  </si>
  <si>
    <t>Seaking</t>
  </si>
  <si>
    <t>120</t>
  </si>
  <si>
    <t>Staryu</t>
  </si>
  <si>
    <t>121</t>
  </si>
  <si>
    <t>Starmie</t>
  </si>
  <si>
    <t>TG13/TG30</t>
  </si>
  <si>
    <t>S9a - Battle Region</t>
  </si>
  <si>
    <t>083/067</t>
  </si>
  <si>
    <t>122</t>
  </si>
  <si>
    <t>Mr. Mime</t>
  </si>
  <si>
    <t>179/165</t>
  </si>
  <si>
    <t>OKACHEKE</t>
  </si>
  <si>
    <t>123</t>
  </si>
  <si>
    <t>Scyther</t>
  </si>
  <si>
    <t>124</t>
  </si>
  <si>
    <t>Jynx</t>
  </si>
  <si>
    <t>Sword &amp; Shield - Silver Tempest</t>
  </si>
  <si>
    <t>TG04/TG30</t>
  </si>
  <si>
    <t>S11A - Incandescent Arcana</t>
  </si>
  <si>
    <t>71/68</t>
  </si>
  <si>
    <t>125</t>
  </si>
  <si>
    <t>Electabuzz</t>
  </si>
  <si>
    <t>126</t>
  </si>
  <si>
    <t>Magmar</t>
  </si>
  <si>
    <t>127</t>
  </si>
  <si>
    <t>Pinsir</t>
  </si>
  <si>
    <t>168/167</t>
  </si>
  <si>
    <t>067/066</t>
  </si>
  <si>
    <t>128</t>
  </si>
  <si>
    <t>Paldean</t>
  </si>
  <si>
    <t>Tauros</t>
  </si>
  <si>
    <t>218/193</t>
  </si>
  <si>
    <t>SV1a - Triplet Beat</t>
  </si>
  <si>
    <t>084/073</t>
  </si>
  <si>
    <t>Anesaki Dynamic</t>
  </si>
  <si>
    <t>129</t>
  </si>
  <si>
    <t>Magikarp</t>
  </si>
  <si>
    <t>203/193</t>
  </si>
  <si>
    <t>080/073</t>
  </si>
  <si>
    <t>130</t>
  </si>
  <si>
    <t>Gyarados</t>
  </si>
  <si>
    <t>131</t>
  </si>
  <si>
    <t>Misty's</t>
  </si>
  <si>
    <t>Lapras</t>
  </si>
  <si>
    <t>194/182</t>
  </si>
  <si>
    <t>072/063</t>
  </si>
  <si>
    <t>132</t>
  </si>
  <si>
    <t>Ditto</t>
  </si>
  <si>
    <t>GG22/GG70</t>
  </si>
  <si>
    <t>S12a - VSTAR Universe</t>
  </si>
  <si>
    <t>197/172</t>
  </si>
  <si>
    <t>Miki Tanaka</t>
  </si>
  <si>
    <t>133</t>
  </si>
  <si>
    <t>Eevee</t>
  </si>
  <si>
    <t>SVP173</t>
  </si>
  <si>
    <t>Makura Tami</t>
  </si>
  <si>
    <t>134</t>
  </si>
  <si>
    <t>Vaporeon</t>
  </si>
  <si>
    <t>Sword &amp; Shield - Promo</t>
  </si>
  <si>
    <t>SWSH181</t>
  </si>
  <si>
    <t>S6a - Eevee Heroes</t>
  </si>
  <si>
    <t>075/069</t>
  </si>
  <si>
    <t>Tika Matsuno</t>
  </si>
  <si>
    <t>135</t>
  </si>
  <si>
    <t>Jolteon</t>
  </si>
  <si>
    <t>SWSH183</t>
  </si>
  <si>
    <t>079/069</t>
  </si>
  <si>
    <t>nagimiso</t>
  </si>
  <si>
    <t>136</t>
  </si>
  <si>
    <t>Flareon</t>
  </si>
  <si>
    <t>SWSH179</t>
  </si>
  <si>
    <t>073/069</t>
  </si>
  <si>
    <t>Souichirou Gunjima</t>
  </si>
  <si>
    <t>137</t>
  </si>
  <si>
    <t>Porygon</t>
  </si>
  <si>
    <t>138</t>
  </si>
  <si>
    <t>Omanyte</t>
  </si>
  <si>
    <t>180/165</t>
  </si>
  <si>
    <t>Yano Keiji</t>
  </si>
  <si>
    <t>139</t>
  </si>
  <si>
    <t>Omastar</t>
  </si>
  <si>
    <t>140</t>
  </si>
  <si>
    <t>Kabuto</t>
  </si>
  <si>
    <t>141</t>
  </si>
  <si>
    <t>Kabutops</t>
  </si>
  <si>
    <t>142</t>
  </si>
  <si>
    <t>Aerodactyl</t>
  </si>
  <si>
    <t>180/196</t>
  </si>
  <si>
    <t>S11 - Lost Abyss</t>
  </si>
  <si>
    <t>106/100</t>
  </si>
  <si>
    <t>Nurikabe</t>
  </si>
  <si>
    <t>143</t>
  </si>
  <si>
    <t>Snorlax</t>
  </si>
  <si>
    <t>SVP051</t>
  </si>
  <si>
    <t>181/165</t>
  </si>
  <si>
    <t>GOSSAN</t>
  </si>
  <si>
    <t>144</t>
  </si>
  <si>
    <t>Articuno</t>
  </si>
  <si>
    <t>161/159</t>
  </si>
  <si>
    <t>102/100</t>
  </si>
  <si>
    <t>Kuroimori</t>
  </si>
  <si>
    <t>145</t>
  </si>
  <si>
    <t>Zapdos</t>
  </si>
  <si>
    <t>202/165</t>
  </si>
  <si>
    <t>194/165</t>
  </si>
  <si>
    <t>Shiburingaru</t>
  </si>
  <si>
    <t>146</t>
  </si>
  <si>
    <t>Moltres</t>
  </si>
  <si>
    <t>229/182</t>
  </si>
  <si>
    <t>124/098</t>
  </si>
  <si>
    <t>AKIRA EGAWA</t>
  </si>
  <si>
    <t>147</t>
  </si>
  <si>
    <t>Dratini</t>
  </si>
  <si>
    <t>148</t>
  </si>
  <si>
    <t>Dragonair</t>
  </si>
  <si>
    <t>rika</t>
  </si>
  <si>
    <t>149</t>
  </si>
  <si>
    <t>Dragonite</t>
  </si>
  <si>
    <t>Sword &amp; Shield - Evolving Skies</t>
  </si>
  <si>
    <t>192/203</t>
  </si>
  <si>
    <t>S7R - Blue Sky Stream</t>
  </si>
  <si>
    <t>074/067</t>
  </si>
  <si>
    <t>Atsushi Furusawa</t>
  </si>
  <si>
    <t>150</t>
  </si>
  <si>
    <t>Mewtwo</t>
  </si>
  <si>
    <t>SVP052</t>
  </si>
  <si>
    <t>183/165</t>
  </si>
  <si>
    <t>Bun Toujo</t>
  </si>
  <si>
    <t>151</t>
  </si>
  <si>
    <t>Mew</t>
  </si>
  <si>
    <t>SVP053</t>
  </si>
  <si>
    <t>205/165</t>
  </si>
  <si>
    <t>Natsumi Yoshida</t>
  </si>
  <si>
    <t>Released so far</t>
  </si>
  <si>
    <t>Collected EN</t>
  </si>
  <si>
    <t>Collected JP</t>
  </si>
  <si>
    <t>Collected EN/JP</t>
  </si>
  <si>
    <t>001-009</t>
  </si>
  <si>
    <t>010-018</t>
  </si>
  <si>
    <t>019-027</t>
  </si>
  <si>
    <t>028-036</t>
  </si>
  <si>
    <t>037-045</t>
  </si>
  <si>
    <t>046-054</t>
  </si>
  <si>
    <t>055-063</t>
  </si>
  <si>
    <t>064-072</t>
  </si>
  <si>
    <t>073-081</t>
  </si>
  <si>
    <t>082-090</t>
  </si>
  <si>
    <t>091-99</t>
  </si>
  <si>
    <t>100-108</t>
  </si>
  <si>
    <t>109-117</t>
  </si>
  <si>
    <t>118-126</t>
  </si>
  <si>
    <t>127-135</t>
  </si>
  <si>
    <t>136-144</t>
  </si>
  <si>
    <t>0145-151</t>
  </si>
  <si>
    <t>Scarlet &amp; Violet - Stellar Crown</t>
  </si>
  <si>
    <t>143/142</t>
  </si>
  <si>
    <t>SVP044</t>
  </si>
  <si>
    <t>MINAMINAMI Take</t>
  </si>
  <si>
    <t>SWSH260</t>
  </si>
  <si>
    <t>Sword &amp; Shield - Brilliant Stars</t>
  </si>
  <si>
    <t>154/172</t>
  </si>
  <si>
    <t>Ryota Murayama</t>
  </si>
  <si>
    <t>Scarlet &amp; Violet - Paldean Fates</t>
  </si>
  <si>
    <t>234/091</t>
  </si>
  <si>
    <t>VMAX</t>
  </si>
  <si>
    <t>SWSH261</t>
  </si>
  <si>
    <t>VSTAR</t>
  </si>
  <si>
    <t>SWSH262</t>
  </si>
  <si>
    <t>KIYOTAKA OSHIYAMA</t>
  </si>
  <si>
    <t>223/197</t>
  </si>
  <si>
    <t>TG03/TG30</t>
  </si>
  <si>
    <t>148/142</t>
  </si>
  <si>
    <t>Saboteri</t>
  </si>
  <si>
    <t>X &amp; Y - Promos</t>
  </si>
  <si>
    <t>XY57</t>
  </si>
  <si>
    <t>115/XY-P</t>
  </si>
  <si>
    <t>match</t>
  </si>
  <si>
    <t>TG05/TG30</t>
  </si>
  <si>
    <t>GG30/GG70</t>
  </si>
  <si>
    <t>SVP027</t>
  </si>
  <si>
    <t>160/159</t>
  </si>
  <si>
    <t>SVP088</t>
  </si>
  <si>
    <t>saino misaki</t>
  </si>
  <si>
    <t>with Grey Felt Hat</t>
  </si>
  <si>
    <t>SVP085</t>
  </si>
  <si>
    <t>Naoya Kimura</t>
  </si>
  <si>
    <t>SWSH020</t>
  </si>
  <si>
    <t>Hideki Ishikawa</t>
  </si>
  <si>
    <t>241/236</t>
  </si>
  <si>
    <t>Hitoshi Ariga</t>
  </si>
  <si>
    <t>TG17/TG30</t>
  </si>
  <si>
    <t>XY124</t>
  </si>
  <si>
    <t>Megumi Mizutani</t>
  </si>
  <si>
    <t>TG16/TG30</t>
  </si>
  <si>
    <t>Kyota Morayama</t>
  </si>
  <si>
    <t>224/261</t>
  </si>
  <si>
    <t>tetsuya koizumi</t>
  </si>
  <si>
    <t>126/098</t>
  </si>
  <si>
    <t>Uninori</t>
  </si>
  <si>
    <t>Wugtrio</t>
  </si>
  <si>
    <t>224/091</t>
  </si>
  <si>
    <t>SV4A - ShinyTreasure ex</t>
  </si>
  <si>
    <t>338/190</t>
  </si>
  <si>
    <t>SV-P - Scarlet &amp; Violet Promo</t>
  </si>
  <si>
    <t>192SV-P</t>
  </si>
  <si>
    <t>uninori</t>
  </si>
  <si>
    <t>071/063</t>
  </si>
  <si>
    <t>Sun &amp; Moon - Unbroken Bonds</t>
  </si>
  <si>
    <t>199/214</t>
  </si>
  <si>
    <t>You Irubi</t>
  </si>
  <si>
    <t>Sandy Shocks</t>
  </si>
  <si>
    <t>250/182</t>
  </si>
  <si>
    <t>89/66</t>
  </si>
  <si>
    <t>Galarian</t>
  </si>
  <si>
    <t>Sword &amp; Shield - Chilling Reign</t>
  </si>
  <si>
    <t>168/198</t>
  </si>
  <si>
    <t>S6H - Silver Lance</t>
  </si>
  <si>
    <t>75/70</t>
  </si>
  <si>
    <t>sui</t>
  </si>
  <si>
    <t>Sword &amp; Shield - Fusion Strike</t>
  </si>
  <si>
    <t>271/264</t>
  </si>
  <si>
    <t>sowsow</t>
  </si>
  <si>
    <t>Sun &amp; Moon - Team Up</t>
  </si>
  <si>
    <t>168/199</t>
  </si>
  <si>
    <t>Midori Harada</t>
  </si>
  <si>
    <t>164/199</t>
  </si>
  <si>
    <t>OOYAMA</t>
  </si>
  <si>
    <t>GG05/GG70</t>
  </si>
  <si>
    <t>177/172</t>
  </si>
  <si>
    <t>zig</t>
  </si>
  <si>
    <t>188/167</t>
  </si>
  <si>
    <t>078/066</t>
  </si>
  <si>
    <t>TG11/TG30</t>
  </si>
  <si>
    <t>TG02/TG30</t>
  </si>
  <si>
    <t>Jiro Sasumo</t>
  </si>
  <si>
    <t>SWSH182</t>
  </si>
  <si>
    <t>DOM</t>
  </si>
  <si>
    <t>SWSH184</t>
  </si>
  <si>
    <t>Hasuno</t>
  </si>
  <si>
    <t>SWSH180</t>
  </si>
  <si>
    <t>TG10/TG30</t>
  </si>
  <si>
    <t>SWSH282</t>
  </si>
  <si>
    <t>182/172</t>
  </si>
  <si>
    <t>170/198</t>
  </si>
  <si>
    <t>Uta</t>
  </si>
  <si>
    <t>174/198</t>
  </si>
  <si>
    <t>SWSH283</t>
  </si>
  <si>
    <t>Rianti Hidayat</t>
  </si>
  <si>
    <t>TG19/TG30</t>
  </si>
  <si>
    <t>kirisAki</t>
  </si>
  <si>
    <t>177/198</t>
  </si>
  <si>
    <t>Shibuzoh.</t>
  </si>
  <si>
    <t>TG20/TG30</t>
  </si>
  <si>
    <t>SWSH284</t>
  </si>
  <si>
    <t>190/172</t>
  </si>
  <si>
    <t>125/098</t>
  </si>
  <si>
    <t>Iwamoto05</t>
  </si>
  <si>
    <t>GG44/GG70</t>
  </si>
  <si>
    <t>Sun &amp; Moon - Shining Legends</t>
  </si>
  <si>
    <t>78/73</t>
  </si>
  <si>
    <t>GG10/GG70</t>
  </si>
  <si>
    <t>251/264</t>
  </si>
  <si>
    <t>Naoki Saito</t>
  </si>
  <si>
    <t>232/091</t>
  </si>
  <si>
    <t>USGMEN</t>
  </si>
  <si>
    <t>269/264</t>
  </si>
  <si>
    <t>XY110</t>
  </si>
  <si>
    <t>Kouki Saito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</si>
</sst>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&quot;$&quot;#,##0.00"/>
    <numFmt numFmtId="165" formatCode="0.0%"/>
  </numFmts>
  <fonts count="17">
    <font>
      <sz val="10.0"/>
      <color rgb="FF000000"/>
      <name val="Arial"/>
      <scheme val="minor"/>
    </font>
    <font>
      <b/>
      <color theme="1"/>
      <name val="Arial"/>
    </font>
    <font>
      <color theme="1"/>
      <name val="Arial"/>
    </font>
    <font>
      <b/>
      <color theme="1"/>
      <name val="Arial"/>
      <scheme val="minor"/>
    </font>
    <font>
      <u/>
      <color rgb="FF0000FF"/>
      <name val="Arial"/>
    </font>
    <font>
      <color rgb="FFB7B7B7"/>
      <name val="Arial"/>
    </font>
    <font>
      <color rgb="FFB7B7B7"/>
      <name val="Arial"/>
      <scheme val="minor"/>
    </font>
    <font>
      <u/>
      <color rgb="FF0000FF"/>
      <name val="Arial"/>
    </font>
    <font>
      <b/>
      <color rgb="FF000000"/>
      <name val="Arial"/>
      <scheme val="minor"/>
    </font>
    <font>
      <u/>
      <color rgb="FF0000FF"/>
      <name val="Arial"/>
    </font>
    <font>
      <color theme="1"/>
      <name val="Arial"/>
      <scheme val="minor"/>
    </font>
    <font>
      <b/>
      <u/>
      <sz val="12.0"/>
      <color rgb="FF1F1F1F"/>
      <name val="&quot;Google Sans Text&quot;"/>
    </font>
    <font>
      <b/>
      <sz val="12.0"/>
      <color rgb="FF1F1F1F"/>
      <name val="&quot;Google Sans Text&quot;"/>
    </font>
    <font>
      <sz val="9.0"/>
      <color rgb="FF000000"/>
      <name val="&quot;Google Sans Mono&quot;"/>
    </font>
    <font>
      <u/>
      <color rgb="FF0000FF"/>
      <name val="Arial"/>
    </font>
    <font>
      <u/>
      <color rgb="FF0000FF"/>
      <name val="Arial"/>
    </font>
    <font>
      <u/>
      <color rgb="FF0000FF"/>
      <name val="Arial"/>
    </font>
  </fonts>
  <fills count="6">
    <fill>
      <patternFill patternType="none"/>
    </fill>
    <fill>
      <patternFill patternType="lightGray"/>
    </fill>
    <fill>
      <patternFill patternType="solid">
        <fgColor rgb="FFD9D9D9"/>
        <bgColor rgb="FFD9D9D9"/>
      </patternFill>
    </fill>
    <fill>
      <patternFill patternType="solid">
        <fgColor rgb="FFFFFFFF"/>
        <bgColor rgb="FFFFFFFF"/>
      </patternFill>
    </fill>
    <fill>
      <patternFill patternType="solid">
        <fgColor rgb="FFE5E5E5"/>
        <bgColor rgb="FFE5E5E5"/>
      </patternFill>
    </fill>
    <fill>
      <patternFill patternType="solid">
        <fgColor rgb="FFFFFF00"/>
        <bgColor rgb="FFFFFF00"/>
      </patternFill>
    </fill>
  </fills>
  <borders count="1">
    <border/>
  </borders>
  <cellStyleXfs count="1">
    <xf borderId="0" fillId="0" fontId="0" numFmtId="0" applyAlignment="1" applyFont="1"/>
  </cellStyleXfs>
  <cellXfs count="64">
    <xf borderId="0" fillId="0" fontId="0" numFmtId="0" xfId="0" applyAlignment="1" applyFont="1">
      <alignment readingOrder="0" shrinkToFit="0" vertical="bottom" wrapText="0"/>
    </xf>
    <xf borderId="0" fillId="0" fontId="1" numFmtId="49" xfId="0" applyAlignment="1" applyFont="1" applyNumberFormat="1">
      <alignment horizontal="center"/>
    </xf>
    <xf borderId="0" fillId="0" fontId="2" numFmtId="0" xfId="0" applyFont="1"/>
    <xf borderId="0" fillId="0" fontId="1" numFmtId="0" xfId="0" applyAlignment="1" applyFont="1">
      <alignment horizontal="center"/>
    </xf>
    <xf borderId="0" fillId="0" fontId="1" numFmtId="0" xfId="0" applyAlignment="1" applyFont="1">
      <alignment horizontal="center" shrinkToFit="0" wrapText="0"/>
    </xf>
    <xf borderId="0" fillId="0" fontId="1" numFmtId="164" xfId="0" applyAlignment="1" applyFont="1" applyNumberFormat="1">
      <alignment horizontal="center"/>
    </xf>
    <xf borderId="0" fillId="0" fontId="1" numFmtId="164" xfId="0" applyAlignment="1" applyFont="1" applyNumberFormat="1">
      <alignment horizontal="right"/>
    </xf>
    <xf borderId="0" fillId="0" fontId="3" numFmtId="0" xfId="0" applyAlignment="1" applyFont="1">
      <alignment horizontal="center" vertical="center"/>
    </xf>
    <xf borderId="0" fillId="0" fontId="2" numFmtId="0" xfId="0" applyAlignment="1" applyFont="1">
      <alignment horizontal="center" readingOrder="0"/>
    </xf>
    <xf borderId="0" fillId="0" fontId="2" numFmtId="0" xfId="0" applyAlignment="1" applyFont="1">
      <alignment horizontal="center"/>
    </xf>
    <xf borderId="0" fillId="0" fontId="1" numFmtId="49" xfId="0" applyFont="1" applyNumberFormat="1"/>
    <xf borderId="0" fillId="0" fontId="1" numFmtId="0" xfId="0" applyFont="1"/>
    <xf borderId="0" fillId="0" fontId="4" numFmtId="0" xfId="0" applyAlignment="1" applyFont="1">
      <alignment horizontal="center"/>
    </xf>
    <xf borderId="0" fillId="0" fontId="2" numFmtId="164" xfId="0" applyFont="1" applyNumberFormat="1"/>
    <xf borderId="0" fillId="0" fontId="2" numFmtId="0" xfId="0" applyAlignment="1" applyFont="1">
      <alignment vertical="bottom"/>
    </xf>
    <xf borderId="0" fillId="0" fontId="3" numFmtId="0" xfId="0" applyAlignment="1" applyFont="1">
      <alignment vertical="center"/>
    </xf>
    <xf borderId="0" fillId="0" fontId="1" numFmtId="164" xfId="0" applyFont="1" applyNumberFormat="1"/>
    <xf borderId="0" fillId="0" fontId="2" numFmtId="0" xfId="0" applyFont="1"/>
    <xf borderId="0" fillId="0" fontId="2" numFmtId="49" xfId="0" applyFont="1" applyNumberFormat="1"/>
    <xf borderId="0" fillId="0" fontId="5" numFmtId="49" xfId="0" applyFont="1" applyNumberFormat="1"/>
    <xf borderId="0" fillId="0" fontId="5" numFmtId="0" xfId="0" applyFont="1"/>
    <xf borderId="0" fillId="0" fontId="2" numFmtId="0" xfId="0" applyAlignment="1" applyFont="1">
      <alignment horizontal="center"/>
    </xf>
    <xf borderId="0" fillId="0" fontId="6" numFmtId="0" xfId="0" applyAlignment="1" applyFont="1">
      <alignment vertical="center"/>
    </xf>
    <xf borderId="0" fillId="0" fontId="2" numFmtId="49" xfId="0" applyAlignment="1" applyFont="1" applyNumberFormat="1">
      <alignment horizontal="center"/>
    </xf>
    <xf borderId="0" fillId="0" fontId="1" numFmtId="0" xfId="0" applyFont="1"/>
    <xf borderId="0" fillId="0" fontId="1" numFmtId="0" xfId="0" applyAlignment="1" applyFont="1">
      <alignment horizontal="center" readingOrder="0"/>
    </xf>
    <xf borderId="0" fillId="0" fontId="1" numFmtId="0" xfId="0" applyAlignment="1" applyFont="1">
      <alignment vertical="bottom"/>
    </xf>
    <xf borderId="0" fillId="0" fontId="7" numFmtId="0" xfId="0" applyAlignment="1" applyFont="1">
      <alignment horizontal="center"/>
    </xf>
    <xf borderId="0" fillId="0" fontId="8" numFmtId="0" xfId="0" applyAlignment="1" applyFont="1">
      <alignment vertical="center"/>
    </xf>
    <xf borderId="0" fillId="0" fontId="2" numFmtId="0" xfId="0" applyAlignment="1" applyFont="1">
      <alignment horizontal="center" vertical="bottom"/>
    </xf>
    <xf borderId="0" fillId="0" fontId="9" numFmtId="0" xfId="0" applyAlignment="1" applyFont="1">
      <alignment horizontal="center" vertical="bottom"/>
    </xf>
    <xf borderId="0" fillId="2" fontId="2" numFmtId="49" xfId="0" applyFill="1" applyFont="1" applyNumberFormat="1"/>
    <xf borderId="0" fillId="2" fontId="2" numFmtId="0" xfId="0" applyFont="1"/>
    <xf borderId="0" fillId="2" fontId="2" numFmtId="0" xfId="0" applyAlignment="1" applyFont="1">
      <alignment horizontal="center"/>
    </xf>
    <xf borderId="0" fillId="2" fontId="1" numFmtId="164" xfId="0" applyAlignment="1" applyFont="1" applyNumberFormat="1">
      <alignment horizontal="right"/>
    </xf>
    <xf borderId="0" fillId="2" fontId="10" numFmtId="0" xfId="0" applyAlignment="1" applyFont="1">
      <alignment vertical="center"/>
    </xf>
    <xf borderId="0" fillId="0" fontId="2" numFmtId="49" xfId="0" applyAlignment="1" applyFont="1" applyNumberFormat="1">
      <alignment horizontal="right"/>
    </xf>
    <xf borderId="0" fillId="0" fontId="10" numFmtId="0" xfId="0" applyAlignment="1" applyFont="1">
      <alignment shrinkToFit="0" vertical="center" wrapText="0"/>
    </xf>
    <xf borderId="0" fillId="0" fontId="1" numFmtId="165" xfId="0" applyAlignment="1" applyFont="1" applyNumberFormat="1">
      <alignment horizontal="right"/>
    </xf>
    <xf borderId="0" fillId="0" fontId="2" numFmtId="0" xfId="0" applyAlignment="1" applyFont="1">
      <alignment horizontal="right" vertical="bottom"/>
    </xf>
    <xf borderId="0" fillId="0" fontId="3" numFmtId="0" xfId="0" applyAlignment="1" applyFont="1">
      <alignment shrinkToFit="0" vertical="center" wrapText="0"/>
    </xf>
    <xf borderId="0" fillId="0" fontId="3" numFmtId="0" xfId="0" applyAlignment="1" applyFont="1">
      <alignment readingOrder="0" shrinkToFit="0" vertical="center" wrapText="0"/>
    </xf>
    <xf borderId="0" fillId="0" fontId="3" numFmtId="165" xfId="0" applyAlignment="1" applyFont="1" applyNumberFormat="1">
      <alignment shrinkToFit="0" vertical="center" wrapText="0"/>
    </xf>
    <xf borderId="0" fillId="0" fontId="10" numFmtId="49" xfId="0" applyAlignment="1" applyFont="1" applyNumberFormat="1">
      <alignment shrinkToFit="0" vertical="center" wrapText="0"/>
    </xf>
    <xf borderId="0" fillId="0" fontId="10" numFmtId="0" xfId="0" applyAlignment="1" applyFont="1">
      <alignment horizontal="center" shrinkToFit="0" vertical="center" wrapText="0"/>
    </xf>
    <xf borderId="0" fillId="0" fontId="10" numFmtId="164" xfId="0" applyAlignment="1" applyFont="1" applyNumberFormat="1">
      <alignment horizontal="right" shrinkToFit="0" vertical="center" wrapText="0"/>
    </xf>
    <xf borderId="0" fillId="3" fontId="10" numFmtId="0" xfId="0" applyAlignment="1" applyFill="1" applyFont="1">
      <alignment horizontal="center" vertical="center"/>
    </xf>
    <xf borderId="0" fillId="0" fontId="10" numFmtId="0" xfId="0" applyAlignment="1" applyFont="1">
      <alignment horizontal="center" readingOrder="0" vertical="center"/>
    </xf>
    <xf borderId="0" fillId="0" fontId="10" numFmtId="0" xfId="0" applyAlignment="1" applyFont="1">
      <alignment horizontal="center" vertical="center"/>
    </xf>
    <xf borderId="0" fillId="3" fontId="11" numFmtId="0" xfId="0" applyAlignment="1" applyFont="1">
      <alignment horizontal="center" vertical="center"/>
    </xf>
    <xf borderId="0" fillId="3" fontId="12" numFmtId="0" xfId="0" applyAlignment="1" applyFont="1">
      <alignment horizontal="center" vertical="center"/>
    </xf>
    <xf borderId="0" fillId="4" fontId="13" numFmtId="0" xfId="0" applyAlignment="1" applyFill="1" applyFont="1">
      <alignment horizontal="left"/>
    </xf>
    <xf borderId="0" fillId="3" fontId="13" numFmtId="0" xfId="0" applyFont="1"/>
    <xf borderId="0" fillId="3" fontId="12" numFmtId="0" xfId="0" applyAlignment="1" applyFont="1">
      <alignment horizontal="center" vertical="center"/>
    </xf>
    <xf borderId="0" fillId="5" fontId="2" numFmtId="0" xfId="0" applyFill="1" applyFont="1"/>
    <xf borderId="0" fillId="5" fontId="2" numFmtId="0" xfId="0" applyAlignment="1" applyFont="1">
      <alignment vertical="bottom"/>
    </xf>
    <xf borderId="0" fillId="0" fontId="14" numFmtId="0" xfId="0" applyFont="1"/>
    <xf borderId="0" fillId="5" fontId="2" numFmtId="49" xfId="0" applyFont="1" applyNumberFormat="1"/>
    <xf borderId="0" fillId="0" fontId="15" numFmtId="0" xfId="0" applyAlignment="1" applyFont="1">
      <alignment vertical="bottom"/>
    </xf>
    <xf borderId="0" fillId="0" fontId="2" numFmtId="165" xfId="0" applyFont="1" applyNumberFormat="1"/>
    <xf borderId="0" fillId="0" fontId="16" numFmtId="0" xfId="0" applyFont="1"/>
    <xf borderId="0" fillId="0" fontId="1" numFmtId="0" xfId="0" applyAlignment="1" applyFont="1">
      <alignment horizontal="center"/>
    </xf>
    <xf borderId="0" fillId="0" fontId="1" numFmtId="165" xfId="0" applyFont="1" applyNumberFormat="1"/>
    <xf borderId="0" fillId="5" fontId="2" numFmtId="0" xfId="0" applyFont="1"/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BDBDBD"/>
          <bgColor rgb="FFBDBDBD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3F3F3"/>
          <bgColor rgb="FFF3F3F3"/>
        </patternFill>
      </fill>
      <border/>
    </dxf>
    <dxf>
      <font/>
      <fill>
        <patternFill patternType="solid">
          <fgColor rgb="FFD9D9D9"/>
          <bgColor rgb="FFD9D9D9"/>
        </patternFill>
      </fill>
      <border/>
    </dxf>
  </dxfs>
  <tableStyles count="1">
    <tableStyle count="3" pivot="0" name="Binder View-style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headerRowCount="0" ref="A2:D9" displayName="Table_1" name="Table_1" id="1">
  <tableColumns count="4">
    <tableColumn name="Column1" id="1"/>
    <tableColumn name="Column2" id="2"/>
    <tableColumn name="Column3" id="3"/>
    <tableColumn name="Column4" id="4"/>
  </tableColumns>
  <tableStyleInfo name="Binder View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1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6.0" ySplit="1.0" topLeftCell="G2" activePane="bottomRight" state="frozen"/>
      <selection activeCell="G1" sqref="G1" pane="topRight"/>
      <selection activeCell="A2" sqref="A2" pane="bottomLeft"/>
      <selection activeCell="G2" sqref="G2" pane="bottomRight"/>
    </sheetView>
  </sheetViews>
  <sheetFormatPr customHeight="1" defaultColWidth="12.63" defaultRowHeight="15.75"/>
  <cols>
    <col customWidth="1" min="1" max="1" width="2.63"/>
    <col customWidth="1" min="2" max="2" width="2.38"/>
    <col customWidth="1" min="3" max="3" width="3.88"/>
    <col customWidth="1" min="4" max="4" width="12.63"/>
    <col customWidth="1" min="5" max="5" width="13.75"/>
    <col customWidth="1" min="6" max="6" width="5.75"/>
    <col customWidth="1" min="7" max="7" width="12.75"/>
    <col customWidth="1" min="8" max="8" width="31.0"/>
    <col customWidth="1" min="9" max="9" width="10.38"/>
    <col customWidth="1" min="10" max="10" width="24.75"/>
    <col customWidth="1" min="11" max="11" width="7.0"/>
    <col customWidth="1" min="12" max="12" width="18.38"/>
    <col customWidth="1" min="13" max="14" width="2.63"/>
    <col customWidth="1" min="15" max="15" width="13.0"/>
    <col customWidth="1" min="16" max="16" width="12.63"/>
  </cols>
  <sheetData>
    <row r="1">
      <c r="A1" s="1" t="s">
        <v>0</v>
      </c>
      <c r="B1" s="1" t="s">
        <v>1</v>
      </c>
      <c r="C1" s="1" t="s">
        <v>2</v>
      </c>
      <c r="D1" s="2"/>
      <c r="E1" s="3" t="s">
        <v>3</v>
      </c>
      <c r="F1" s="2"/>
      <c r="G1" s="3" t="s">
        <v>4</v>
      </c>
      <c r="H1" s="3" t="s">
        <v>5</v>
      </c>
      <c r="I1" s="1" t="s">
        <v>2</v>
      </c>
      <c r="J1" s="3" t="s">
        <v>6</v>
      </c>
      <c r="K1" s="3" t="s">
        <v>2</v>
      </c>
      <c r="L1" s="3" t="s">
        <v>7</v>
      </c>
      <c r="M1" s="4" t="s">
        <v>8</v>
      </c>
      <c r="O1" s="5" t="s">
        <v>9</v>
      </c>
      <c r="P1" s="6" t="s">
        <v>10</v>
      </c>
      <c r="Q1" s="3" t="s">
        <v>11</v>
      </c>
      <c r="R1" s="7"/>
      <c r="S1" s="7"/>
      <c r="T1" s="7"/>
      <c r="U1" s="7"/>
      <c r="V1" s="7"/>
      <c r="W1" s="7"/>
      <c r="X1" s="7"/>
      <c r="Y1" s="7"/>
      <c r="Z1" s="7"/>
      <c r="AA1" s="7"/>
      <c r="AB1" s="7"/>
      <c r="AC1" s="7"/>
      <c r="AD1" s="7"/>
    </row>
    <row r="2">
      <c r="A2" s="8" t="b">
        <v>1</v>
      </c>
      <c r="B2" s="9" t="b">
        <v>0</v>
      </c>
      <c r="C2" s="10" t="s">
        <v>12</v>
      </c>
      <c r="D2" s="2"/>
      <c r="E2" s="11" t="s">
        <v>13</v>
      </c>
      <c r="F2" s="2"/>
      <c r="G2" s="11" t="s">
        <v>14</v>
      </c>
      <c r="H2" s="11" t="s">
        <v>15</v>
      </c>
      <c r="I2" s="10" t="s">
        <v>16</v>
      </c>
      <c r="J2" s="11" t="s">
        <v>17</v>
      </c>
      <c r="K2" s="11" t="s">
        <v>16</v>
      </c>
      <c r="L2" s="11" t="s">
        <v>18</v>
      </c>
      <c r="M2" s="12" t="str">
        <f>HYPERLINK("https://pkmncards.com/card/bulbasaur-151-mew-166/",image("https://i0.wp.com/pkmncards.com/wp-content/uploads/sv3-5_en_166_std.jpg?fit=733%2C1024&amp;ssl=1"))</f>
        <v/>
      </c>
      <c r="N2" s="12" t="str">
        <f>hyperlink("https://www.serebii.net/card/pokemoncard151/166.shtml",IMAGE("https://www.serebii.net/card/pokemoncard151/166.jpg"))</f>
        <v/>
      </c>
      <c r="O2" s="6"/>
      <c r="P2" s="13"/>
      <c r="Q2" s="14"/>
      <c r="R2" s="15"/>
      <c r="S2" s="15"/>
      <c r="T2" s="15"/>
      <c r="U2" s="15"/>
      <c r="V2" s="15"/>
      <c r="W2" s="15"/>
      <c r="X2" s="15"/>
      <c r="Y2" s="15"/>
      <c r="Z2" s="15"/>
      <c r="AA2" s="15"/>
      <c r="AB2" s="15"/>
      <c r="AC2" s="15"/>
      <c r="AD2" s="15"/>
    </row>
    <row r="3">
      <c r="A3" s="8" t="b">
        <v>1</v>
      </c>
      <c r="B3" s="9" t="b">
        <v>0</v>
      </c>
      <c r="C3" s="10" t="s">
        <v>19</v>
      </c>
      <c r="D3" s="2"/>
      <c r="E3" s="11" t="s">
        <v>20</v>
      </c>
      <c r="F3" s="2"/>
      <c r="G3" s="11" t="s">
        <v>14</v>
      </c>
      <c r="H3" s="16" t="s">
        <v>15</v>
      </c>
      <c r="I3" s="10" t="s">
        <v>21</v>
      </c>
      <c r="J3" s="11" t="s">
        <v>17</v>
      </c>
      <c r="K3" s="10" t="s">
        <v>21</v>
      </c>
      <c r="L3" s="11" t="s">
        <v>18</v>
      </c>
      <c r="M3" s="12" t="str">
        <f>hyperlink("https://pkmncards.com/card/ivysaur-151-mew-167/", image("https://i0.wp.com/pkmncards.com/wp-content/uploads/sv3-5_en_167_std.jpg?fit=733%2C1024&amp;ssl=1"))</f>
        <v/>
      </c>
      <c r="N3" s="12" t="str">
        <f>hyperlink("https://www.serebii.net/card/pokemoncard151/167.shtml",image("https://www.serebii.net/card/pokemoncard151/167.jpg"))</f>
        <v/>
      </c>
      <c r="O3" s="13"/>
      <c r="P3" s="13"/>
      <c r="Q3" s="17"/>
      <c r="R3" s="15"/>
      <c r="S3" s="15"/>
      <c r="T3" s="15"/>
      <c r="U3" s="15"/>
      <c r="V3" s="15"/>
      <c r="W3" s="15"/>
      <c r="X3" s="15"/>
      <c r="Y3" s="15"/>
      <c r="Z3" s="15"/>
      <c r="AA3" s="15"/>
      <c r="AB3" s="15"/>
      <c r="AC3" s="15"/>
      <c r="AD3" s="15"/>
    </row>
    <row r="4">
      <c r="A4" s="8" t="b">
        <v>1</v>
      </c>
      <c r="B4" s="9" t="b">
        <v>0</v>
      </c>
      <c r="C4" s="10" t="s">
        <v>22</v>
      </c>
      <c r="D4" s="2"/>
      <c r="E4" s="11" t="s">
        <v>23</v>
      </c>
      <c r="F4" s="11" t="s">
        <v>24</v>
      </c>
      <c r="G4" s="11" t="s">
        <v>14</v>
      </c>
      <c r="H4" s="11" t="s">
        <v>15</v>
      </c>
      <c r="I4" s="10" t="s">
        <v>25</v>
      </c>
      <c r="J4" s="11" t="s">
        <v>17</v>
      </c>
      <c r="K4" s="10" t="s">
        <v>25</v>
      </c>
      <c r="L4" s="11" t="s">
        <v>18</v>
      </c>
      <c r="M4" s="12" t="str">
        <f>hyperlink("https://pkmncards.com/card/venusaur-ex-151-mew-198/", image("https://i0.wp.com/pkmncards.com/wp-content/uploads/sv3-5_en_198_std.jpg?fit=733%2C1024&amp;ssl=1"))</f>
        <v/>
      </c>
      <c r="N4" s="12" t="str">
        <f>hyperlink("https://www.serebii.net/card/pokemoncard151/200.shtml",image("https://www.serebii.net/card/pokemoncard151/200.jpg"))</f>
        <v/>
      </c>
      <c r="O4" s="13"/>
      <c r="P4" s="13"/>
      <c r="Q4" s="17"/>
      <c r="R4" s="15"/>
      <c r="S4" s="15"/>
      <c r="T4" s="15"/>
      <c r="U4" s="15"/>
      <c r="V4" s="15"/>
      <c r="W4" s="15"/>
      <c r="X4" s="15"/>
      <c r="Y4" s="15"/>
      <c r="Z4" s="15"/>
      <c r="AA4" s="15"/>
      <c r="AB4" s="15"/>
      <c r="AC4" s="15"/>
      <c r="AD4" s="15"/>
    </row>
    <row r="5">
      <c r="A5" s="8" t="b">
        <v>1</v>
      </c>
      <c r="B5" s="9" t="b">
        <v>0</v>
      </c>
      <c r="C5" s="10" t="s">
        <v>26</v>
      </c>
      <c r="D5" s="2"/>
      <c r="E5" s="11" t="s">
        <v>27</v>
      </c>
      <c r="F5" s="2"/>
      <c r="G5" s="11" t="s">
        <v>14</v>
      </c>
      <c r="H5" s="11" t="s">
        <v>15</v>
      </c>
      <c r="I5" s="10" t="s">
        <v>28</v>
      </c>
      <c r="J5" s="11" t="s">
        <v>17</v>
      </c>
      <c r="K5" s="10" t="s">
        <v>28</v>
      </c>
      <c r="L5" s="11" t="s">
        <v>29</v>
      </c>
      <c r="M5" s="12" t="str">
        <f>hyperlink("https://pkmncards.com/card/charmander-151-mew-168/", image("https://i0.wp.com/pkmncards.com/wp-content/uploads/sv3-5_en_168_std.jpg?fit=733%2C1024&amp;ssl=1"))</f>
        <v/>
      </c>
      <c r="N5" s="12" t="str">
        <f>hyperlink("https://www.serebii.net/card/pokemoncard151/168.shtml",image("https://www.serebii.net/card/pokemoncard151/168.jpg"))</f>
        <v/>
      </c>
      <c r="O5" s="13"/>
      <c r="P5" s="13"/>
      <c r="Q5" s="17"/>
      <c r="R5" s="15"/>
      <c r="S5" s="15"/>
      <c r="T5" s="15"/>
      <c r="U5" s="15"/>
      <c r="V5" s="15"/>
      <c r="W5" s="15"/>
      <c r="X5" s="15"/>
      <c r="Y5" s="15"/>
      <c r="Z5" s="15"/>
      <c r="AA5" s="15"/>
      <c r="AB5" s="15"/>
      <c r="AC5" s="15"/>
      <c r="AD5" s="15"/>
    </row>
    <row r="6">
      <c r="A6" s="8" t="b">
        <v>1</v>
      </c>
      <c r="B6" s="9" t="b">
        <v>0</v>
      </c>
      <c r="C6" s="10" t="s">
        <v>30</v>
      </c>
      <c r="D6" s="2"/>
      <c r="E6" s="11" t="s">
        <v>31</v>
      </c>
      <c r="F6" s="2"/>
      <c r="G6" s="11" t="s">
        <v>14</v>
      </c>
      <c r="H6" s="11" t="s">
        <v>15</v>
      </c>
      <c r="I6" s="10" t="s">
        <v>32</v>
      </c>
      <c r="J6" s="11" t="s">
        <v>17</v>
      </c>
      <c r="K6" s="10" t="s">
        <v>32</v>
      </c>
      <c r="L6" s="11" t="s">
        <v>29</v>
      </c>
      <c r="M6" s="12" t="str">
        <f>hyperlink("https://pkmncards.com/card/charmeleon-151-mew-169/", IMAGE("https://i0.wp.com/pkmncards.com/wp-content/uploads/sv3-5_en_169_std.jpg?fit=733%2C1024&amp;ssl=1"))</f>
        <v/>
      </c>
      <c r="N6" s="12" t="str">
        <f>hyperlink("https://www.serebii.net/card/pokemoncard151/169.shtml",image("https://www.serebii.net/card/pokemoncard151/169.jpg"))</f>
        <v/>
      </c>
      <c r="O6" s="6"/>
      <c r="P6" s="13"/>
      <c r="Q6" s="2"/>
      <c r="R6" s="15"/>
      <c r="S6" s="15"/>
      <c r="T6" s="15"/>
      <c r="U6" s="15"/>
      <c r="V6" s="15"/>
      <c r="W6" s="15"/>
      <c r="X6" s="15"/>
      <c r="Y6" s="15"/>
      <c r="Z6" s="15"/>
      <c r="AA6" s="15"/>
      <c r="AB6" s="15"/>
      <c r="AC6" s="15"/>
      <c r="AD6" s="15"/>
    </row>
    <row r="7">
      <c r="A7" s="8" t="b">
        <v>1</v>
      </c>
      <c r="B7" s="9" t="b">
        <v>0</v>
      </c>
      <c r="C7" s="10" t="s">
        <v>33</v>
      </c>
      <c r="D7" s="2"/>
      <c r="E7" s="11" t="s">
        <v>34</v>
      </c>
      <c r="F7" s="11" t="s">
        <v>24</v>
      </c>
      <c r="G7" s="11" t="s">
        <v>14</v>
      </c>
      <c r="H7" s="11" t="s">
        <v>15</v>
      </c>
      <c r="I7" s="10" t="s">
        <v>35</v>
      </c>
      <c r="J7" s="11" t="s">
        <v>17</v>
      </c>
      <c r="K7" s="10" t="s">
        <v>35</v>
      </c>
      <c r="L7" s="11" t="s">
        <v>29</v>
      </c>
      <c r="M7" s="12" t="str">
        <f>hyperlink("https://pkmncards.com/card/charizard-ex-151-mew-199/", image("https://i0.wp.com/pkmncards.com/wp-content/uploads/sv3-5_en_199_std.jpg?fit=733%2C1024&amp;ssl=1"))</f>
        <v/>
      </c>
      <c r="N7" s="12" t="str">
        <f>hyperlink("https://www.serebii.net/card/pokemoncard151/201.shtml",image("https://www.serebii.net/card/pokemoncard151/201.jpg"))</f>
        <v/>
      </c>
      <c r="O7" s="13"/>
      <c r="P7" s="13"/>
      <c r="Q7" s="17"/>
      <c r="R7" s="15"/>
      <c r="S7" s="15"/>
      <c r="T7" s="15"/>
      <c r="U7" s="15"/>
      <c r="V7" s="15"/>
      <c r="W7" s="15"/>
      <c r="X7" s="15"/>
      <c r="Y7" s="15"/>
      <c r="Z7" s="15"/>
      <c r="AA7" s="15"/>
      <c r="AB7" s="15"/>
      <c r="AC7" s="15"/>
      <c r="AD7" s="15"/>
    </row>
    <row r="8">
      <c r="A8" s="8" t="b">
        <v>1</v>
      </c>
      <c r="B8" s="9" t="b">
        <v>0</v>
      </c>
      <c r="C8" s="10" t="s">
        <v>36</v>
      </c>
      <c r="D8" s="2"/>
      <c r="E8" s="11" t="s">
        <v>37</v>
      </c>
      <c r="F8" s="2"/>
      <c r="G8" s="11" t="s">
        <v>14</v>
      </c>
      <c r="H8" s="11" t="s">
        <v>15</v>
      </c>
      <c r="I8" s="10" t="s">
        <v>38</v>
      </c>
      <c r="J8" s="11" t="s">
        <v>17</v>
      </c>
      <c r="K8" s="10" t="s">
        <v>38</v>
      </c>
      <c r="L8" s="11" t="s">
        <v>39</v>
      </c>
      <c r="M8" s="12" t="str">
        <f>hyperlink("https://pkmncards.com/card/squirtle-151-mew-170/", image("https://i0.wp.com/pkmncards.com/wp-content/uploads/sv3-5_en_170_std.jpg?fit=733%2C1024&amp;ssl=1"))</f>
        <v/>
      </c>
      <c r="N8" s="12" t="str">
        <f>hyperlink("https://www.serebii.net/card/pokemoncard151/170.shtml",image("https://www.serebii.net/card/pokemoncard151/170.jpg"))</f>
        <v/>
      </c>
      <c r="O8" s="6"/>
      <c r="P8" s="13"/>
      <c r="Q8" s="17"/>
      <c r="R8" s="15"/>
      <c r="S8" s="15"/>
      <c r="T8" s="15"/>
      <c r="U8" s="15"/>
      <c r="V8" s="15"/>
      <c r="W8" s="15"/>
      <c r="X8" s="15"/>
      <c r="Y8" s="15"/>
      <c r="Z8" s="15"/>
      <c r="AA8" s="15"/>
      <c r="AB8" s="15"/>
      <c r="AC8" s="15"/>
      <c r="AD8" s="15"/>
    </row>
    <row r="9">
      <c r="A9" s="8" t="b">
        <v>1</v>
      </c>
      <c r="B9" s="9" t="b">
        <v>0</v>
      </c>
      <c r="C9" s="10" t="s">
        <v>40</v>
      </c>
      <c r="D9" s="2"/>
      <c r="E9" s="11" t="s">
        <v>41</v>
      </c>
      <c r="F9" s="2"/>
      <c r="G9" s="11" t="s">
        <v>14</v>
      </c>
      <c r="H9" s="11" t="s">
        <v>15</v>
      </c>
      <c r="I9" s="10" t="s">
        <v>42</v>
      </c>
      <c r="J9" s="11" t="s">
        <v>17</v>
      </c>
      <c r="K9" s="10" t="s">
        <v>42</v>
      </c>
      <c r="L9" s="11" t="s">
        <v>39</v>
      </c>
      <c r="M9" s="12" t="str">
        <f>hyperlink("https://pkmncards.com/card/wartortle-151-mew-171/", image("https://i0.wp.com/pkmncards.com/wp-content/uploads/sv3-5_en_171_std.jpg?fit=733%2C1024&amp;ssl=1"))</f>
        <v/>
      </c>
      <c r="N9" s="12" t="str">
        <f>hyperlink("https://www.serebii.net/card/pokemoncard151/171.shtml",image("https://www.serebii.net/card/pokemoncard151/171.jpg"))</f>
        <v/>
      </c>
      <c r="O9" s="6"/>
      <c r="P9" s="13"/>
      <c r="Q9" s="17"/>
      <c r="R9" s="15"/>
      <c r="S9" s="15"/>
      <c r="T9" s="15"/>
      <c r="U9" s="15"/>
      <c r="V9" s="15"/>
      <c r="W9" s="15"/>
      <c r="X9" s="15"/>
      <c r="Y9" s="15"/>
      <c r="Z9" s="15"/>
      <c r="AA9" s="15"/>
      <c r="AB9" s="15"/>
      <c r="AC9" s="15"/>
      <c r="AD9" s="15"/>
    </row>
    <row r="10">
      <c r="A10" s="8" t="b">
        <v>1</v>
      </c>
      <c r="B10" s="9" t="b">
        <v>0</v>
      </c>
      <c r="C10" s="10" t="s">
        <v>43</v>
      </c>
      <c r="D10" s="2"/>
      <c r="E10" s="11" t="s">
        <v>44</v>
      </c>
      <c r="F10" s="11" t="s">
        <v>24</v>
      </c>
      <c r="G10" s="11" t="s">
        <v>14</v>
      </c>
      <c r="H10" s="11" t="s">
        <v>15</v>
      </c>
      <c r="I10" s="10" t="s">
        <v>45</v>
      </c>
      <c r="J10" s="11" t="s">
        <v>17</v>
      </c>
      <c r="K10" s="10" t="s">
        <v>45</v>
      </c>
      <c r="L10" s="11" t="s">
        <v>39</v>
      </c>
      <c r="M10" s="12" t="str">
        <f>hyperlink("https://pkmncards.com/card/blastoise-ex-151-mew-200/", image("https://i0.wp.com/pkmncards.com/wp-content/uploads/sv3-5_en_200_std.jpg?fit=733%2C1024&amp;ssl=1"))</f>
        <v/>
      </c>
      <c r="N10" s="12" t="str">
        <f>hyperlink("https://www.serebii.net/card/pokemoncard151/202.shtml",image("https://www.serebii.net/card/pokemoncard151/202.jpg"))</f>
        <v/>
      </c>
      <c r="O10" s="6"/>
      <c r="P10" s="13"/>
      <c r="Q10" s="17"/>
      <c r="R10" s="15"/>
      <c r="S10" s="15"/>
      <c r="T10" s="15"/>
      <c r="U10" s="15"/>
      <c r="V10" s="15"/>
      <c r="W10" s="15"/>
      <c r="X10" s="15"/>
      <c r="Y10" s="15"/>
      <c r="Z10" s="15"/>
      <c r="AA10" s="15"/>
      <c r="AB10" s="15"/>
      <c r="AC10" s="15"/>
      <c r="AD10" s="15"/>
    </row>
    <row r="11">
      <c r="A11" s="8" t="b">
        <v>1</v>
      </c>
      <c r="B11" s="9" t="b">
        <v>0</v>
      </c>
      <c r="C11" s="10" t="s">
        <v>46</v>
      </c>
      <c r="D11" s="2"/>
      <c r="E11" s="11" t="s">
        <v>47</v>
      </c>
      <c r="F11" s="2"/>
      <c r="G11" s="11" t="s">
        <v>14</v>
      </c>
      <c r="H11" s="11" t="s">
        <v>15</v>
      </c>
      <c r="I11" s="10" t="s">
        <v>48</v>
      </c>
      <c r="J11" s="11" t="s">
        <v>17</v>
      </c>
      <c r="K11" s="10" t="s">
        <v>48</v>
      </c>
      <c r="L11" s="11" t="s">
        <v>49</v>
      </c>
      <c r="M11" s="12" t="str">
        <f>hyperlink("https://pkmncards.com/card/caterpie-151-mew-172/", image("https://i0.wp.com/pkmncards.com/wp-content/uploads/sv3-5_en_172_std.jpg?fit=733%2C1024&amp;ssl=1"))</f>
        <v/>
      </c>
      <c r="N11" s="9" t="str">
        <f>IMAGE("https://public.getcollectr.com/public-assets/products/product_10012095.png?optimizer=image&amp;format=webp&amp;width=800&amp;quality=85&amp;strip=metadata")</f>
        <v/>
      </c>
      <c r="O11" s="6"/>
      <c r="P11" s="13"/>
      <c r="Q11" s="17"/>
      <c r="R11" s="15"/>
      <c r="S11" s="15"/>
      <c r="T11" s="15"/>
      <c r="U11" s="15"/>
      <c r="V11" s="15"/>
      <c r="W11" s="15"/>
      <c r="X11" s="15"/>
      <c r="Y11" s="15"/>
      <c r="Z11" s="15"/>
      <c r="AA11" s="15"/>
      <c r="AB11" s="15"/>
      <c r="AC11" s="15"/>
      <c r="AD11" s="15"/>
    </row>
    <row r="12">
      <c r="A12" s="18"/>
      <c r="B12" s="18"/>
      <c r="C12" s="19" t="s">
        <v>50</v>
      </c>
      <c r="D12" s="2"/>
      <c r="E12" s="20" t="s">
        <v>51</v>
      </c>
      <c r="F12" s="17"/>
      <c r="G12" s="17"/>
      <c r="H12" s="17"/>
      <c r="I12" s="18"/>
      <c r="J12" s="17"/>
      <c r="K12" s="17"/>
      <c r="L12" s="17"/>
      <c r="M12" s="21"/>
      <c r="N12" s="21"/>
      <c r="O12" s="13"/>
      <c r="P12" s="13"/>
      <c r="Q12" s="17"/>
      <c r="R12" s="22"/>
      <c r="S12" s="22"/>
      <c r="T12" s="22"/>
      <c r="U12" s="22"/>
      <c r="V12" s="22"/>
      <c r="W12" s="22"/>
      <c r="X12" s="22"/>
      <c r="Y12" s="22"/>
      <c r="Z12" s="22"/>
      <c r="AA12" s="22"/>
      <c r="AB12" s="22"/>
      <c r="AC12" s="22"/>
      <c r="AD12" s="22"/>
    </row>
    <row r="13">
      <c r="A13" s="18"/>
      <c r="B13" s="18"/>
      <c r="C13" s="19" t="s">
        <v>52</v>
      </c>
      <c r="D13" s="2"/>
      <c r="E13" s="20" t="s">
        <v>53</v>
      </c>
      <c r="F13" s="17"/>
      <c r="G13" s="17"/>
      <c r="H13" s="17"/>
      <c r="I13" s="18"/>
      <c r="J13" s="17"/>
      <c r="K13" s="17"/>
      <c r="L13" s="17"/>
      <c r="M13" s="21"/>
      <c r="N13" s="21"/>
      <c r="O13" s="13"/>
      <c r="P13" s="13"/>
      <c r="Q13" s="17"/>
      <c r="R13" s="22"/>
      <c r="S13" s="22"/>
      <c r="T13" s="22"/>
      <c r="U13" s="22"/>
      <c r="V13" s="22"/>
      <c r="W13" s="22"/>
      <c r="X13" s="22"/>
      <c r="Y13" s="22"/>
      <c r="Z13" s="22"/>
      <c r="AA13" s="22"/>
      <c r="AB13" s="22"/>
      <c r="AC13" s="22"/>
      <c r="AD13" s="22"/>
    </row>
    <row r="14">
      <c r="A14" s="18"/>
      <c r="B14" s="18"/>
      <c r="C14" s="19" t="s">
        <v>54</v>
      </c>
      <c r="D14" s="2"/>
      <c r="E14" s="20" t="s">
        <v>55</v>
      </c>
      <c r="F14" s="17"/>
      <c r="G14" s="17"/>
      <c r="H14" s="17"/>
      <c r="I14" s="18"/>
      <c r="J14" s="17"/>
      <c r="K14" s="17"/>
      <c r="L14" s="17"/>
      <c r="M14" s="21"/>
      <c r="N14" s="21"/>
      <c r="O14" s="13"/>
      <c r="P14" s="13"/>
      <c r="Q14" s="17"/>
      <c r="R14" s="22"/>
      <c r="S14" s="22"/>
      <c r="T14" s="22"/>
      <c r="U14" s="22"/>
      <c r="V14" s="22"/>
      <c r="W14" s="22"/>
      <c r="X14" s="22"/>
      <c r="Y14" s="22"/>
      <c r="Z14" s="22"/>
      <c r="AA14" s="22"/>
      <c r="AB14" s="22"/>
      <c r="AC14" s="22"/>
      <c r="AD14" s="22"/>
    </row>
    <row r="15">
      <c r="A15" s="18"/>
      <c r="B15" s="18"/>
      <c r="C15" s="19" t="s">
        <v>56</v>
      </c>
      <c r="D15" s="2"/>
      <c r="E15" s="20" t="s">
        <v>57</v>
      </c>
      <c r="F15" s="17"/>
      <c r="G15" s="17"/>
      <c r="H15" s="17"/>
      <c r="I15" s="18"/>
      <c r="J15" s="17"/>
      <c r="K15" s="17"/>
      <c r="L15" s="17"/>
      <c r="M15" s="21"/>
      <c r="N15" s="21"/>
      <c r="O15" s="13"/>
      <c r="P15" s="13"/>
      <c r="Q15" s="17"/>
      <c r="R15" s="22"/>
      <c r="S15" s="22"/>
      <c r="T15" s="22"/>
      <c r="U15" s="22"/>
      <c r="V15" s="22"/>
      <c r="W15" s="22"/>
      <c r="X15" s="22"/>
      <c r="Y15" s="22"/>
      <c r="Z15" s="22"/>
      <c r="AA15" s="22"/>
      <c r="AB15" s="22"/>
      <c r="AC15" s="22"/>
      <c r="AD15" s="22"/>
    </row>
    <row r="16">
      <c r="A16" s="8" t="b">
        <v>0</v>
      </c>
      <c r="B16" s="9" t="b">
        <v>0</v>
      </c>
      <c r="C16" s="10" t="s">
        <v>58</v>
      </c>
      <c r="D16" s="2"/>
      <c r="E16" s="11" t="s">
        <v>59</v>
      </c>
      <c r="F16" s="11" t="s">
        <v>60</v>
      </c>
      <c r="G16" s="11" t="s">
        <v>14</v>
      </c>
      <c r="H16" s="11" t="s">
        <v>61</v>
      </c>
      <c r="I16" s="10" t="s">
        <v>62</v>
      </c>
      <c r="J16" s="11" t="s">
        <v>63</v>
      </c>
      <c r="K16" s="11" t="s">
        <v>64</v>
      </c>
      <c r="L16" s="11" t="s">
        <v>65</v>
      </c>
      <c r="M16" s="12" t="str">
        <f>hyperlink("https://pkmncards.com/card/beedrill-v-astral-radiance-asr-161/", image("https://i0.wp.com/pkmncards.com/wp-content/uploads/en_US-SWSH10-161-beedrill_v.jpg?fit=734%2C1024&amp;ssl=1"))</f>
        <v/>
      </c>
      <c r="N16" s="9" t="str">
        <f>image("https://public.getcollectr.com/public-assets/products/product_10002958.png?optimizer=image&amp;format=webp&amp;width=800&amp;quality=85&amp;strip=metadata")</f>
        <v/>
      </c>
      <c r="O16" s="6"/>
      <c r="P16" s="13"/>
      <c r="Q16" s="17"/>
      <c r="R16" s="15"/>
      <c r="S16" s="15"/>
      <c r="T16" s="15"/>
      <c r="U16" s="15"/>
      <c r="V16" s="15"/>
      <c r="W16" s="15"/>
      <c r="X16" s="15"/>
      <c r="Y16" s="15"/>
      <c r="Z16" s="15"/>
      <c r="AA16" s="15"/>
      <c r="AB16" s="15"/>
      <c r="AC16" s="15"/>
      <c r="AD16" s="15"/>
    </row>
    <row r="17">
      <c r="A17" s="8" t="b">
        <v>0</v>
      </c>
      <c r="B17" s="9" t="b">
        <v>0</v>
      </c>
      <c r="C17" s="10" t="s">
        <v>66</v>
      </c>
      <c r="D17" s="2"/>
      <c r="E17" s="11" t="s">
        <v>67</v>
      </c>
      <c r="F17" s="2"/>
      <c r="G17" s="11" t="s">
        <v>14</v>
      </c>
      <c r="H17" s="11" t="s">
        <v>68</v>
      </c>
      <c r="I17" s="10" t="s">
        <v>69</v>
      </c>
      <c r="J17" s="11" t="s">
        <v>70</v>
      </c>
      <c r="K17" s="11" t="s">
        <v>71</v>
      </c>
      <c r="L17" s="11" t="s">
        <v>72</v>
      </c>
      <c r="M17" s="12" t="str">
        <f>hyperlink("https://pkmncards.com/card/pidgey-obsidian-flames-obf-207/",image("https://i0.wp.com/pkmncards.com/wp-content/uploads/sv3_en_207.jpg?fit=733%2C1024&amp;ssl=1"))</f>
        <v/>
      </c>
      <c r="N17" s="12" t="str">
        <f>hyperlink("https://www.serebii.net/card/ruleroftheblackflame/118.shtml", image("https://www.serebii.net/card/ruleroftheblackflame/118.jpg"))</f>
        <v/>
      </c>
      <c r="O17" s="6"/>
      <c r="P17" s="13"/>
      <c r="Q17" s="17"/>
      <c r="R17" s="15"/>
      <c r="S17" s="15"/>
      <c r="T17" s="15"/>
      <c r="U17" s="15"/>
      <c r="V17" s="15"/>
      <c r="W17" s="15"/>
      <c r="X17" s="15"/>
      <c r="Y17" s="15"/>
      <c r="Z17" s="15"/>
      <c r="AA17" s="15"/>
      <c r="AB17" s="15"/>
      <c r="AC17" s="15"/>
      <c r="AD17" s="15"/>
    </row>
    <row r="18">
      <c r="A18" s="8" t="b">
        <v>0</v>
      </c>
      <c r="B18" s="9" t="b">
        <v>0</v>
      </c>
      <c r="C18" s="10" t="s">
        <v>73</v>
      </c>
      <c r="D18" s="2"/>
      <c r="E18" s="11" t="s">
        <v>74</v>
      </c>
      <c r="F18" s="2"/>
      <c r="G18" s="11" t="s">
        <v>14</v>
      </c>
      <c r="H18" s="11" t="s">
        <v>68</v>
      </c>
      <c r="I18" s="10" t="s">
        <v>75</v>
      </c>
      <c r="J18" s="11" t="s">
        <v>70</v>
      </c>
      <c r="K18" s="11" t="s">
        <v>76</v>
      </c>
      <c r="L18" s="11" t="s">
        <v>72</v>
      </c>
      <c r="M18" s="12" t="str">
        <f>hyperlink("https://pkmncards.com/card/pidgeotto-obsidian-flames-obf-208/",image("https://i0.wp.com/pkmncards.com/wp-content/uploads/sv3_en_208.jpg?fit=733%2C1024&amp;ssl=1"))</f>
        <v/>
      </c>
      <c r="N18" s="12" t="str">
        <f>hyperlink("https://www.serebii.net/card/ruleroftheblackflame/119.shtml", image("https://www.serebii.net/card/ruleroftheblackflame/119.jpg"))</f>
        <v/>
      </c>
      <c r="O18" s="6"/>
      <c r="P18" s="13"/>
      <c r="Q18" s="17"/>
      <c r="R18" s="15"/>
      <c r="S18" s="15"/>
      <c r="T18" s="15"/>
      <c r="U18" s="15"/>
      <c r="V18" s="15"/>
      <c r="W18" s="15"/>
      <c r="X18" s="15"/>
      <c r="Y18" s="15"/>
      <c r="Z18" s="15"/>
      <c r="AA18" s="15"/>
      <c r="AB18" s="15"/>
      <c r="AC18" s="15"/>
      <c r="AD18" s="15"/>
    </row>
    <row r="19">
      <c r="A19" s="8" t="b">
        <v>0</v>
      </c>
      <c r="B19" s="9" t="b">
        <v>0</v>
      </c>
      <c r="C19" s="10" t="s">
        <v>77</v>
      </c>
      <c r="D19" s="2"/>
      <c r="E19" s="11" t="s">
        <v>78</v>
      </c>
      <c r="F19" s="11" t="s">
        <v>24</v>
      </c>
      <c r="G19" s="11" t="s">
        <v>14</v>
      </c>
      <c r="H19" s="11" t="s">
        <v>68</v>
      </c>
      <c r="I19" s="10" t="s">
        <v>79</v>
      </c>
      <c r="J19" s="11" t="s">
        <v>70</v>
      </c>
      <c r="K19" s="11" t="s">
        <v>80</v>
      </c>
      <c r="L19" s="11" t="s">
        <v>72</v>
      </c>
      <c r="M19" s="12" t="str">
        <f>hyperlink("https://pkmncards.com/card/pidgeot-ex-obsidian-flames-obf-225/",image("https://i0.wp.com/pkmncards.com/wp-content/uploads/sv3_en_225.jpg?fit=733%2C1024&amp;ssl=1"))</f>
        <v/>
      </c>
      <c r="N19" s="12" t="str">
        <f>hyperlink("https://www.serebii.net/card/ruleroftheblackflame/136.shtml", image("https://www.serebii.net/card/ruleroftheblackflame/136.jpg"))</f>
        <v/>
      </c>
      <c r="O19" s="6"/>
      <c r="P19" s="13"/>
      <c r="Q19" s="17"/>
      <c r="R19" s="15"/>
      <c r="S19" s="15"/>
      <c r="T19" s="15"/>
      <c r="U19" s="15"/>
      <c r="V19" s="15"/>
      <c r="W19" s="15"/>
      <c r="X19" s="15"/>
      <c r="Y19" s="15"/>
      <c r="Z19" s="15"/>
      <c r="AA19" s="15"/>
      <c r="AB19" s="15"/>
      <c r="AC19" s="15"/>
      <c r="AD19" s="15"/>
    </row>
    <row r="20">
      <c r="A20" s="18"/>
      <c r="B20" s="18"/>
      <c r="C20" s="19" t="s">
        <v>81</v>
      </c>
      <c r="D20" s="2"/>
      <c r="E20" s="20" t="s">
        <v>82</v>
      </c>
      <c r="F20" s="17"/>
      <c r="G20" s="17"/>
      <c r="H20" s="17"/>
      <c r="I20" s="18"/>
      <c r="J20" s="17"/>
      <c r="K20" s="17"/>
      <c r="L20" s="17"/>
      <c r="M20" s="21"/>
      <c r="N20" s="21"/>
      <c r="O20" s="13"/>
      <c r="P20" s="13"/>
      <c r="Q20" s="17"/>
      <c r="R20" s="22"/>
      <c r="S20" s="22"/>
      <c r="T20" s="22"/>
      <c r="U20" s="22"/>
      <c r="V20" s="22"/>
      <c r="W20" s="22"/>
      <c r="X20" s="22"/>
      <c r="Y20" s="22"/>
      <c r="Z20" s="22"/>
      <c r="AA20" s="22"/>
      <c r="AB20" s="22"/>
      <c r="AC20" s="22"/>
      <c r="AD20" s="22"/>
    </row>
    <row r="21">
      <c r="A21" s="23" t="b">
        <v>0</v>
      </c>
      <c r="B21" s="23" t="b">
        <v>0</v>
      </c>
      <c r="C21" s="10" t="s">
        <v>83</v>
      </c>
      <c r="D21" s="11" t="s">
        <v>84</v>
      </c>
      <c r="E21" s="11" t="s">
        <v>85</v>
      </c>
      <c r="F21" s="2"/>
      <c r="G21" s="24" t="s">
        <v>14</v>
      </c>
      <c r="H21" s="24" t="s">
        <v>86</v>
      </c>
      <c r="I21" s="10" t="s">
        <v>87</v>
      </c>
      <c r="J21" s="11" t="s">
        <v>88</v>
      </c>
      <c r="K21" s="11" t="s">
        <v>89</v>
      </c>
      <c r="L21" s="11" t="s">
        <v>90</v>
      </c>
      <c r="M21" s="21" t="str">
        <f>IMAGE("https://public.getcollectr.com/public-assets/products/product_633002.jpg?optimizer=image&amp;format=webp&amp;width=1200&amp;quality=70&amp;strip=metadata")</f>
        <v/>
      </c>
      <c r="N21" s="21" t="str">
        <f>image("https://public.getcollectr.com/public-assets/products/product_10028003.jpg?optimizer=image&amp;format=webp&amp;width=800&amp;quality=85&amp;strip=metadata")</f>
        <v/>
      </c>
      <c r="O21" s="13"/>
      <c r="P21" s="6"/>
      <c r="Q21" s="17"/>
      <c r="R21" s="22"/>
      <c r="S21" s="22"/>
      <c r="T21" s="22"/>
      <c r="U21" s="22"/>
      <c r="V21" s="22"/>
      <c r="W21" s="22"/>
      <c r="X21" s="22"/>
      <c r="Y21" s="22"/>
      <c r="Z21" s="22"/>
      <c r="AA21" s="22"/>
      <c r="AB21" s="22"/>
      <c r="AC21" s="22"/>
      <c r="AD21" s="22"/>
    </row>
    <row r="22">
      <c r="A22" s="18"/>
      <c r="B22" s="18"/>
      <c r="C22" s="19" t="s">
        <v>91</v>
      </c>
      <c r="D22" s="2"/>
      <c r="E22" s="20" t="s">
        <v>92</v>
      </c>
      <c r="F22" s="17"/>
      <c r="G22" s="17"/>
      <c r="H22" s="17"/>
      <c r="I22" s="18"/>
      <c r="J22" s="17"/>
      <c r="K22" s="17"/>
      <c r="L22" s="17"/>
      <c r="M22" s="21"/>
      <c r="N22" s="21"/>
      <c r="O22" s="13"/>
      <c r="P22" s="13"/>
      <c r="Q22" s="17"/>
      <c r="R22" s="22"/>
      <c r="S22" s="22"/>
      <c r="T22" s="22"/>
      <c r="U22" s="22"/>
      <c r="V22" s="22"/>
      <c r="W22" s="22"/>
      <c r="X22" s="22"/>
      <c r="Y22" s="22"/>
      <c r="Z22" s="22"/>
      <c r="AA22" s="22"/>
      <c r="AB22" s="22"/>
      <c r="AC22" s="22"/>
      <c r="AD22" s="22"/>
    </row>
    <row r="23">
      <c r="A23" s="2"/>
      <c r="B23" s="2"/>
      <c r="C23" s="19" t="s">
        <v>93</v>
      </c>
      <c r="D23" s="2"/>
      <c r="E23" s="20" t="s">
        <v>94</v>
      </c>
      <c r="F23" s="17"/>
      <c r="G23" s="17"/>
      <c r="H23" s="17"/>
      <c r="I23" s="18"/>
      <c r="J23" s="2"/>
      <c r="K23" s="2"/>
      <c r="L23" s="2"/>
      <c r="M23" s="9"/>
      <c r="N23" s="9"/>
      <c r="O23" s="13"/>
      <c r="P23" s="13"/>
      <c r="Q23" s="17"/>
      <c r="R23" s="22"/>
      <c r="S23" s="22"/>
      <c r="T23" s="22"/>
      <c r="U23" s="22"/>
      <c r="V23" s="22"/>
      <c r="W23" s="22"/>
      <c r="X23" s="22"/>
      <c r="Y23" s="22"/>
      <c r="Z23" s="22"/>
      <c r="AA23" s="22"/>
      <c r="AB23" s="22"/>
      <c r="AC23" s="22"/>
      <c r="AD23" s="22"/>
    </row>
    <row r="24">
      <c r="A24" s="18"/>
      <c r="B24" s="18"/>
      <c r="C24" s="19" t="s">
        <v>95</v>
      </c>
      <c r="D24" s="2"/>
      <c r="E24" s="20" t="s">
        <v>96</v>
      </c>
      <c r="F24" s="17"/>
      <c r="G24" s="17"/>
      <c r="H24" s="17"/>
      <c r="I24" s="18"/>
      <c r="J24" s="17"/>
      <c r="K24" s="17"/>
      <c r="L24" s="17"/>
      <c r="M24" s="21"/>
      <c r="N24" s="21"/>
      <c r="O24" s="13"/>
      <c r="P24" s="13"/>
      <c r="Q24" s="17"/>
      <c r="R24" s="22"/>
      <c r="S24" s="22"/>
      <c r="T24" s="22"/>
      <c r="U24" s="22"/>
      <c r="V24" s="22"/>
      <c r="W24" s="22"/>
      <c r="X24" s="22"/>
      <c r="Y24" s="22"/>
      <c r="Z24" s="22"/>
      <c r="AA24" s="22"/>
      <c r="AB24" s="22"/>
      <c r="AC24" s="22"/>
      <c r="AD24" s="22"/>
    </row>
    <row r="25">
      <c r="A25" s="25" t="b">
        <v>0</v>
      </c>
      <c r="B25" s="3" t="b">
        <v>0</v>
      </c>
      <c r="C25" s="10" t="s">
        <v>97</v>
      </c>
      <c r="D25" s="2"/>
      <c r="E25" s="11" t="s">
        <v>98</v>
      </c>
      <c r="F25" s="17"/>
      <c r="G25" s="11" t="s">
        <v>14</v>
      </c>
      <c r="H25" s="11" t="s">
        <v>99</v>
      </c>
      <c r="I25" s="10" t="s">
        <v>100</v>
      </c>
      <c r="J25" s="11" t="s">
        <v>101</v>
      </c>
      <c r="K25" s="11" t="s">
        <v>102</v>
      </c>
      <c r="L25" s="11" t="s">
        <v>103</v>
      </c>
      <c r="M25" s="12" t="str">
        <f>hyperlink("https://pkmncards.com/card/arbok-temporal-forces-tef-176/",image("https://i0.wp.com/pkmncards.com/wp-content/uploads/sv5_en_176_std.jpg?fit=733%2C1024&amp;ssl=1"))</f>
        <v/>
      </c>
      <c r="N25" s="12" t="str">
        <f>hyperlink("https://www.serebii.net/card/wildforce/079.shtml", image("https://www.serebii.net/card/wildforce/79.jpg"))</f>
        <v/>
      </c>
      <c r="O25" s="6"/>
      <c r="P25" s="13"/>
      <c r="Q25" s="17"/>
      <c r="R25" s="15"/>
      <c r="S25" s="15"/>
      <c r="T25" s="15"/>
      <c r="U25" s="15"/>
      <c r="V25" s="15"/>
      <c r="W25" s="15"/>
      <c r="X25" s="15"/>
      <c r="Y25" s="15"/>
      <c r="Z25" s="15"/>
      <c r="AA25" s="15"/>
      <c r="AB25" s="15"/>
      <c r="AC25" s="15"/>
      <c r="AD25" s="15"/>
    </row>
    <row r="26">
      <c r="A26" s="8" t="b">
        <v>0</v>
      </c>
      <c r="B26" s="9" t="b">
        <v>0</v>
      </c>
      <c r="C26" s="10" t="s">
        <v>104</v>
      </c>
      <c r="D26" s="2"/>
      <c r="E26" s="11" t="s">
        <v>105</v>
      </c>
      <c r="F26" s="2"/>
      <c r="G26" s="11" t="s">
        <v>14</v>
      </c>
      <c r="H26" s="11" t="s">
        <v>15</v>
      </c>
      <c r="I26" s="10" t="s">
        <v>106</v>
      </c>
      <c r="J26" s="11" t="s">
        <v>17</v>
      </c>
      <c r="K26" s="10" t="s">
        <v>106</v>
      </c>
      <c r="L26" s="11" t="s">
        <v>107</v>
      </c>
      <c r="M26" s="12" t="str">
        <f>hyperlink("https://pkmncards.com/card/pikachu-151-mew-173/",image("https://i0.wp.com/pkmncards.com/wp-content/uploads/sv3-5_en_173_std.jpg?fit=733%2C1024&amp;ssl=1"))</f>
        <v/>
      </c>
      <c r="N26" s="12" t="str">
        <f>hyperlink("https://www.serebii.net/card/pokemoncard151/173.shtml",image("https://www.serebii.net/card/pokemoncard151/173.jpg"))</f>
        <v/>
      </c>
      <c r="O26" s="6"/>
      <c r="P26" s="13"/>
      <c r="Q26" s="17"/>
      <c r="R26" s="15"/>
      <c r="S26" s="15"/>
      <c r="T26" s="15"/>
      <c r="U26" s="15"/>
      <c r="V26" s="15"/>
      <c r="W26" s="15"/>
      <c r="X26" s="15"/>
      <c r="Y26" s="15"/>
      <c r="Z26" s="15"/>
      <c r="AA26" s="15"/>
      <c r="AB26" s="15"/>
      <c r="AC26" s="15"/>
      <c r="AD26" s="15"/>
    </row>
    <row r="27">
      <c r="A27" s="9" t="b">
        <v>0</v>
      </c>
      <c r="B27" s="8" t="b">
        <v>0</v>
      </c>
      <c r="C27" s="10" t="s">
        <v>108</v>
      </c>
      <c r="D27" s="2"/>
      <c r="E27" s="11" t="s">
        <v>109</v>
      </c>
      <c r="F27" s="2"/>
      <c r="G27" s="11" t="s">
        <v>14</v>
      </c>
      <c r="H27" s="11" t="s">
        <v>110</v>
      </c>
      <c r="I27" s="10" t="s">
        <v>111</v>
      </c>
      <c r="J27" s="11" t="s">
        <v>112</v>
      </c>
      <c r="K27" s="11" t="s">
        <v>113</v>
      </c>
      <c r="L27" s="11" t="s">
        <v>114</v>
      </c>
      <c r="M27" s="12" t="str">
        <f>hyperlink("https://pkmncards.com/card/raichu-paldea-evolved-pal-211/",image("https://i0.wp.com/pkmncards.com/wp-content/uploads/sv2_en_211.jpg?fit=734%2C1024&amp;ssl=1"))</f>
        <v/>
      </c>
      <c r="N27" s="12" t="str">
        <f>hyperlink("https://www.serebii.net/card/clayburst/074.shtml",image("https://www.serebii.net/card/clayburst/74.jpg"))</f>
        <v/>
      </c>
      <c r="O27" s="6"/>
      <c r="P27" s="13"/>
      <c r="Q27" s="17"/>
      <c r="R27" s="15"/>
      <c r="S27" s="15"/>
      <c r="T27" s="15"/>
      <c r="U27" s="15"/>
      <c r="V27" s="15"/>
      <c r="W27" s="15"/>
      <c r="X27" s="15"/>
      <c r="Y27" s="15"/>
      <c r="Z27" s="15"/>
      <c r="AA27" s="15"/>
      <c r="AB27" s="15"/>
      <c r="AC27" s="15"/>
      <c r="AD27" s="15"/>
    </row>
    <row r="28">
      <c r="A28" s="18"/>
      <c r="B28" s="18"/>
      <c r="C28" s="19" t="s">
        <v>115</v>
      </c>
      <c r="D28" s="2"/>
      <c r="E28" s="20" t="s">
        <v>116</v>
      </c>
      <c r="F28" s="17"/>
      <c r="G28" s="17"/>
      <c r="H28" s="17"/>
      <c r="I28" s="18"/>
      <c r="J28" s="17"/>
      <c r="K28" s="17"/>
      <c r="L28" s="17"/>
      <c r="M28" s="21"/>
      <c r="N28" s="21"/>
      <c r="O28" s="13"/>
      <c r="P28" s="13"/>
      <c r="Q28" s="17"/>
      <c r="R28" s="22"/>
      <c r="S28" s="22"/>
      <c r="T28" s="22"/>
      <c r="U28" s="22"/>
      <c r="V28" s="22"/>
      <c r="W28" s="22"/>
      <c r="X28" s="22"/>
      <c r="Y28" s="22"/>
      <c r="Z28" s="22"/>
      <c r="AA28" s="22"/>
      <c r="AB28" s="22"/>
      <c r="AC28" s="22"/>
      <c r="AD28" s="22"/>
    </row>
    <row r="29">
      <c r="A29" s="18"/>
      <c r="B29" s="18"/>
      <c r="C29" s="19" t="s">
        <v>117</v>
      </c>
      <c r="D29" s="2"/>
      <c r="E29" s="20" t="s">
        <v>118</v>
      </c>
      <c r="F29" s="17"/>
      <c r="G29" s="17"/>
      <c r="H29" s="17"/>
      <c r="I29" s="18"/>
      <c r="J29" s="17"/>
      <c r="K29" s="17"/>
      <c r="L29" s="17"/>
      <c r="M29" s="21"/>
      <c r="N29" s="21"/>
      <c r="O29" s="13"/>
      <c r="P29" s="13"/>
      <c r="Q29" s="17"/>
      <c r="R29" s="22"/>
      <c r="S29" s="22"/>
      <c r="T29" s="22"/>
      <c r="U29" s="22"/>
      <c r="V29" s="22"/>
      <c r="W29" s="22"/>
      <c r="X29" s="22"/>
      <c r="Y29" s="22"/>
      <c r="Z29" s="22"/>
      <c r="AA29" s="22"/>
      <c r="AB29" s="22"/>
      <c r="AC29" s="22"/>
      <c r="AD29" s="22"/>
    </row>
    <row r="30">
      <c r="A30" s="18"/>
      <c r="B30" s="18"/>
      <c r="C30" s="19" t="s">
        <v>119</v>
      </c>
      <c r="D30" s="2"/>
      <c r="E30" s="20" t="s">
        <v>120</v>
      </c>
      <c r="F30" s="17"/>
      <c r="G30" s="17"/>
      <c r="H30" s="17"/>
      <c r="I30" s="18"/>
      <c r="J30" s="17"/>
      <c r="K30" s="17"/>
      <c r="L30" s="17"/>
      <c r="M30" s="21"/>
      <c r="N30" s="21"/>
      <c r="O30" s="13"/>
      <c r="P30" s="13"/>
      <c r="Q30" s="17"/>
      <c r="R30" s="22"/>
      <c r="S30" s="22"/>
      <c r="T30" s="22"/>
      <c r="U30" s="22"/>
      <c r="V30" s="22"/>
      <c r="W30" s="22"/>
      <c r="X30" s="22"/>
      <c r="Y30" s="22"/>
      <c r="Z30" s="22"/>
      <c r="AA30" s="22"/>
      <c r="AB30" s="22"/>
      <c r="AC30" s="22"/>
      <c r="AD30" s="22"/>
    </row>
    <row r="31">
      <c r="A31" s="18"/>
      <c r="B31" s="18"/>
      <c r="C31" s="19" t="s">
        <v>121</v>
      </c>
      <c r="D31" s="2"/>
      <c r="E31" s="20" t="s">
        <v>122</v>
      </c>
      <c r="F31" s="17"/>
      <c r="G31" s="17"/>
      <c r="H31" s="17"/>
      <c r="I31" s="18"/>
      <c r="J31" s="17"/>
      <c r="K31" s="17"/>
      <c r="L31" s="17"/>
      <c r="M31" s="21"/>
      <c r="N31" s="21"/>
      <c r="O31" s="13"/>
      <c r="P31" s="13"/>
      <c r="Q31" s="17"/>
      <c r="R31" s="22"/>
      <c r="S31" s="22"/>
      <c r="T31" s="22"/>
      <c r="U31" s="22"/>
      <c r="V31" s="22"/>
      <c r="W31" s="22"/>
      <c r="X31" s="22"/>
      <c r="Y31" s="22"/>
      <c r="Z31" s="22"/>
      <c r="AA31" s="22"/>
      <c r="AB31" s="22"/>
      <c r="AC31" s="22"/>
      <c r="AD31" s="22"/>
    </row>
    <row r="32">
      <c r="A32" s="18"/>
      <c r="B32" s="18"/>
      <c r="C32" s="19" t="s">
        <v>123</v>
      </c>
      <c r="D32" s="2"/>
      <c r="E32" s="20" t="s">
        <v>124</v>
      </c>
      <c r="F32" s="17"/>
      <c r="G32" s="17"/>
      <c r="H32" s="17"/>
      <c r="I32" s="18"/>
      <c r="J32" s="17"/>
      <c r="K32" s="17"/>
      <c r="L32" s="17"/>
      <c r="M32" s="21"/>
      <c r="N32" s="21"/>
      <c r="O32" s="13"/>
      <c r="P32" s="13"/>
      <c r="Q32" s="17"/>
      <c r="R32" s="22"/>
      <c r="S32" s="22"/>
      <c r="T32" s="22"/>
      <c r="U32" s="22"/>
      <c r="V32" s="22"/>
      <c r="W32" s="22"/>
      <c r="X32" s="22"/>
      <c r="Y32" s="22"/>
      <c r="Z32" s="22"/>
      <c r="AA32" s="22"/>
      <c r="AB32" s="22"/>
      <c r="AC32" s="22"/>
      <c r="AD32" s="22"/>
    </row>
    <row r="33">
      <c r="A33" s="18"/>
      <c r="B33" s="18"/>
      <c r="C33" s="19" t="s">
        <v>125</v>
      </c>
      <c r="D33" s="2"/>
      <c r="E33" s="20" t="s">
        <v>126</v>
      </c>
      <c r="F33" s="17"/>
      <c r="G33" s="17"/>
      <c r="H33" s="17"/>
      <c r="I33" s="18"/>
      <c r="J33" s="17"/>
      <c r="K33" s="17"/>
      <c r="L33" s="17"/>
      <c r="M33" s="21"/>
      <c r="N33" s="21"/>
      <c r="O33" s="13"/>
      <c r="P33" s="13"/>
      <c r="Q33" s="17"/>
      <c r="R33" s="22"/>
      <c r="S33" s="22"/>
      <c r="T33" s="22"/>
      <c r="U33" s="22"/>
      <c r="V33" s="22"/>
      <c r="W33" s="22"/>
      <c r="X33" s="22"/>
      <c r="Y33" s="22"/>
      <c r="Z33" s="22"/>
      <c r="AA33" s="22"/>
      <c r="AB33" s="22"/>
      <c r="AC33" s="22"/>
      <c r="AD33" s="22"/>
    </row>
    <row r="34">
      <c r="A34" s="18"/>
      <c r="B34" s="18"/>
      <c r="C34" s="19" t="s">
        <v>127</v>
      </c>
      <c r="D34" s="2"/>
      <c r="E34" s="20" t="s">
        <v>128</v>
      </c>
      <c r="F34" s="17"/>
      <c r="G34" s="17"/>
      <c r="H34" s="17"/>
      <c r="I34" s="18"/>
      <c r="J34" s="17"/>
      <c r="K34" s="17"/>
      <c r="L34" s="17"/>
      <c r="M34" s="21"/>
      <c r="N34" s="21"/>
      <c r="O34" s="13"/>
      <c r="P34" s="13"/>
      <c r="Q34" s="17"/>
      <c r="R34" s="22"/>
      <c r="S34" s="22"/>
      <c r="T34" s="22"/>
      <c r="U34" s="22"/>
      <c r="V34" s="22"/>
      <c r="W34" s="22"/>
      <c r="X34" s="22"/>
      <c r="Y34" s="22"/>
      <c r="Z34" s="22"/>
      <c r="AA34" s="22"/>
      <c r="AB34" s="22"/>
      <c r="AC34" s="22"/>
      <c r="AD34" s="22"/>
    </row>
    <row r="35">
      <c r="A35" s="23" t="b">
        <v>0</v>
      </c>
      <c r="B35" s="9" t="b">
        <v>0</v>
      </c>
      <c r="C35" s="10" t="s">
        <v>129</v>
      </c>
      <c r="D35" s="2"/>
      <c r="E35" s="11" t="s">
        <v>130</v>
      </c>
      <c r="F35" s="2"/>
      <c r="G35" s="11" t="s">
        <v>14</v>
      </c>
      <c r="H35" s="11" t="s">
        <v>15</v>
      </c>
      <c r="I35" s="10" t="s">
        <v>131</v>
      </c>
      <c r="J35" s="11" t="s">
        <v>17</v>
      </c>
      <c r="K35" s="10" t="s">
        <v>131</v>
      </c>
      <c r="L35" s="11" t="s">
        <v>132</v>
      </c>
      <c r="M35" s="12" t="str">
        <f>hyperlink("https://pkmncards.com/card/nidoking-151-mew-174/",image("https://i0.wp.com/pkmncards.com/wp-content/uploads/sv3-5_en_174_std.jpg?fit=733%2C1024&amp;ssl=1"))</f>
        <v/>
      </c>
      <c r="N35" s="12" t="str">
        <f>hyperlink("https://www.serebii.net/card/pokemoncard151/174.shtml",image("https://www.serebii.net/card/pokemoncard151/174.jpg"))</f>
        <v/>
      </c>
      <c r="O35" s="6"/>
      <c r="P35" s="13"/>
      <c r="Q35" s="17"/>
      <c r="R35" s="15"/>
      <c r="S35" s="15"/>
      <c r="T35" s="15"/>
      <c r="U35" s="15"/>
      <c r="V35" s="15"/>
      <c r="W35" s="15"/>
      <c r="X35" s="15"/>
      <c r="Y35" s="15"/>
      <c r="Z35" s="15"/>
      <c r="AA35" s="15"/>
      <c r="AB35" s="15"/>
      <c r="AC35" s="15"/>
      <c r="AD35" s="15"/>
    </row>
    <row r="36">
      <c r="A36" s="23" t="b">
        <v>0</v>
      </c>
      <c r="B36" s="23" t="b">
        <v>0</v>
      </c>
      <c r="C36" s="10" t="s">
        <v>133</v>
      </c>
      <c r="D36" s="11" t="s">
        <v>134</v>
      </c>
      <c r="E36" s="11" t="s">
        <v>135</v>
      </c>
      <c r="F36" s="17"/>
      <c r="G36" s="11" t="s">
        <v>14</v>
      </c>
      <c r="H36" s="24" t="s">
        <v>136</v>
      </c>
      <c r="I36" s="10" t="s">
        <v>137</v>
      </c>
      <c r="J36" s="24" t="s">
        <v>138</v>
      </c>
      <c r="K36" s="24" t="s">
        <v>139</v>
      </c>
      <c r="L36" s="24" t="s">
        <v>140</v>
      </c>
      <c r="M36" s="21" t="str">
        <f>image("https://public.getcollectr.com/public-assets/products/product_623611.jpg?optimizer=image&amp;format=webp&amp;width=800&amp;quality=85&amp;strip=metadata")</f>
        <v/>
      </c>
      <c r="N36" s="21" t="str">
        <f>image("https://getcollectr-com.b-cdn.net/public-assets/products/product_10024596.jpg?optimizer=image&amp;format=webp&amp;width=800&amp;quality=85&amp;strip=metadata")</f>
        <v/>
      </c>
      <c r="O36" s="13"/>
      <c r="P36" s="13"/>
      <c r="Q36" s="17"/>
      <c r="R36" s="22"/>
      <c r="S36" s="22"/>
      <c r="T36" s="22"/>
      <c r="U36" s="22"/>
      <c r="V36" s="22"/>
      <c r="W36" s="22"/>
      <c r="X36" s="22"/>
      <c r="Y36" s="22"/>
      <c r="Z36" s="22"/>
      <c r="AA36" s="22"/>
      <c r="AB36" s="22"/>
      <c r="AC36" s="22"/>
      <c r="AD36" s="22"/>
    </row>
    <row r="37">
      <c r="A37" s="18"/>
      <c r="B37" s="18"/>
      <c r="C37" s="19" t="s">
        <v>141</v>
      </c>
      <c r="D37" s="2"/>
      <c r="E37" s="20" t="s">
        <v>142</v>
      </c>
      <c r="F37" s="17"/>
      <c r="G37" s="2"/>
      <c r="H37" s="17"/>
      <c r="I37" s="18"/>
      <c r="J37" s="17"/>
      <c r="K37" s="17"/>
      <c r="L37" s="17"/>
      <c r="M37" s="21"/>
      <c r="N37" s="21"/>
      <c r="O37" s="13"/>
      <c r="P37" s="13"/>
      <c r="Q37" s="17"/>
      <c r="R37" s="22"/>
      <c r="S37" s="22"/>
      <c r="T37" s="22"/>
      <c r="U37" s="22"/>
      <c r="V37" s="22"/>
      <c r="W37" s="22"/>
      <c r="X37" s="22"/>
      <c r="Y37" s="22"/>
      <c r="Z37" s="22"/>
      <c r="AA37" s="22"/>
      <c r="AB37" s="22"/>
      <c r="AC37" s="22"/>
      <c r="AD37" s="22"/>
    </row>
    <row r="38">
      <c r="A38" s="18"/>
      <c r="B38" s="18"/>
      <c r="C38" s="19" t="s">
        <v>143</v>
      </c>
      <c r="D38" s="2"/>
      <c r="E38" s="20" t="s">
        <v>144</v>
      </c>
      <c r="F38" s="17"/>
      <c r="G38" s="2"/>
      <c r="H38" s="17"/>
      <c r="I38" s="18"/>
      <c r="J38" s="17"/>
      <c r="K38" s="17"/>
      <c r="L38" s="17"/>
      <c r="M38" s="21"/>
      <c r="N38" s="21"/>
      <c r="O38" s="13"/>
      <c r="P38" s="13"/>
      <c r="Q38" s="17"/>
      <c r="R38" s="22"/>
      <c r="S38" s="22"/>
      <c r="T38" s="22"/>
      <c r="U38" s="22"/>
      <c r="V38" s="22"/>
      <c r="W38" s="22"/>
      <c r="X38" s="22"/>
      <c r="Y38" s="22"/>
      <c r="Z38" s="22"/>
      <c r="AA38" s="22"/>
      <c r="AB38" s="22"/>
      <c r="AC38" s="22"/>
      <c r="AD38" s="22"/>
    </row>
    <row r="39">
      <c r="A39" s="23" t="b">
        <v>0</v>
      </c>
      <c r="B39" s="9" t="b">
        <v>0</v>
      </c>
      <c r="C39" s="10" t="s">
        <v>145</v>
      </c>
      <c r="D39" s="2"/>
      <c r="E39" s="11" t="s">
        <v>146</v>
      </c>
      <c r="F39" s="2"/>
      <c r="G39" s="11" t="s">
        <v>14</v>
      </c>
      <c r="H39" s="11" t="s">
        <v>68</v>
      </c>
      <c r="I39" s="10" t="s">
        <v>147</v>
      </c>
      <c r="J39" s="11" t="s">
        <v>70</v>
      </c>
      <c r="K39" s="11" t="s">
        <v>148</v>
      </c>
      <c r="L39" s="11" t="s">
        <v>149</v>
      </c>
      <c r="M39" s="12" t="str">
        <f>hyperlink("https://pkmncards.com/card/ninetales-obsidian-flames-obf-199/",image("https://i0.wp.com/pkmncards.com/wp-content/uploads/sv3_en_199.jpg?fit=733%2C1024&amp;ssl=1"))</f>
        <v/>
      </c>
      <c r="N39" s="9" t="str">
        <f>image("https://public.getcollectr.com/public-assets/products/product_10012244.png?optimizer=image&amp;format=webp&amp;width=800&amp;quality=85&amp;strip=metadata")</f>
        <v/>
      </c>
      <c r="O39" s="6"/>
      <c r="P39" s="13"/>
      <c r="Q39" s="17"/>
      <c r="R39" s="15"/>
      <c r="S39" s="15"/>
      <c r="T39" s="15"/>
      <c r="U39" s="15"/>
      <c r="V39" s="15"/>
      <c r="W39" s="15"/>
      <c r="X39" s="15"/>
      <c r="Y39" s="15"/>
      <c r="Z39" s="15"/>
      <c r="AA39" s="15"/>
      <c r="AB39" s="15"/>
      <c r="AC39" s="15"/>
      <c r="AD39" s="15"/>
    </row>
    <row r="40">
      <c r="A40" s="3" t="b">
        <v>0</v>
      </c>
      <c r="B40" s="3" t="b">
        <v>0</v>
      </c>
      <c r="C40" s="10" t="s">
        <v>150</v>
      </c>
      <c r="D40" s="2"/>
      <c r="E40" s="11" t="s">
        <v>151</v>
      </c>
      <c r="F40" s="17"/>
      <c r="G40" s="11" t="s">
        <v>152</v>
      </c>
      <c r="H40" s="11" t="s">
        <v>153</v>
      </c>
      <c r="I40" s="10" t="s">
        <v>154</v>
      </c>
      <c r="J40" s="11" t="s">
        <v>155</v>
      </c>
      <c r="K40" s="26" t="s">
        <v>156</v>
      </c>
      <c r="L40" s="11" t="s">
        <v>157</v>
      </c>
      <c r="M40" s="12" t="str">
        <f>hyperlink("https://pkmncards.com/card/scream-tail-scarlet-violet-promos-svp-065/",image("https://i0.wp.com/pkmncards.com/wp-content/uploads/svbsp_en_065_std.jpg?fit=733%2C1024&amp;ssl=1"))</f>
        <v/>
      </c>
      <c r="N40" s="27" t="str">
        <f>hyperlink("https://www.serebii.net/card/ancientroar/071.shtml", image("https://www.serebii.net/card/ancientroar/71.jpg"))</f>
        <v/>
      </c>
      <c r="O40" s="13"/>
      <c r="P40" s="13"/>
      <c r="Q40" s="17"/>
      <c r="R40" s="28"/>
      <c r="S40" s="28"/>
      <c r="T40" s="28"/>
      <c r="U40" s="28"/>
      <c r="V40" s="28"/>
      <c r="W40" s="28"/>
      <c r="X40" s="28"/>
      <c r="Y40" s="28"/>
      <c r="Z40" s="28"/>
      <c r="AA40" s="28"/>
      <c r="AB40" s="28"/>
      <c r="AC40" s="28"/>
      <c r="AD40" s="28"/>
    </row>
    <row r="41">
      <c r="A41" s="18"/>
      <c r="B41" s="18"/>
      <c r="C41" s="19" t="s">
        <v>158</v>
      </c>
      <c r="D41" s="2"/>
      <c r="E41" s="20" t="s">
        <v>159</v>
      </c>
      <c r="F41" s="17"/>
      <c r="G41" s="17"/>
      <c r="H41" s="17"/>
      <c r="I41" s="18"/>
      <c r="J41" s="17"/>
      <c r="K41" s="17"/>
      <c r="L41" s="17"/>
      <c r="M41" s="21"/>
      <c r="N41" s="21"/>
      <c r="O41" s="13"/>
      <c r="P41" s="13"/>
      <c r="Q41" s="17"/>
      <c r="R41" s="22"/>
      <c r="S41" s="22"/>
      <c r="T41" s="22"/>
      <c r="U41" s="22"/>
      <c r="V41" s="22"/>
      <c r="W41" s="22"/>
      <c r="X41" s="22"/>
      <c r="Y41" s="22"/>
      <c r="Z41" s="22"/>
      <c r="AA41" s="22"/>
      <c r="AB41" s="22"/>
      <c r="AC41" s="22"/>
      <c r="AD41" s="22"/>
    </row>
    <row r="42">
      <c r="A42" s="18"/>
      <c r="B42" s="18"/>
      <c r="C42" s="19" t="s">
        <v>160</v>
      </c>
      <c r="D42" s="2"/>
      <c r="E42" s="20" t="s">
        <v>161</v>
      </c>
      <c r="F42" s="17"/>
      <c r="G42" s="17"/>
      <c r="H42" s="17"/>
      <c r="I42" s="18"/>
      <c r="J42" s="17"/>
      <c r="K42" s="17"/>
      <c r="L42" s="17"/>
      <c r="M42" s="21"/>
      <c r="N42" s="21"/>
      <c r="O42" s="13"/>
      <c r="P42" s="13"/>
      <c r="Q42" s="17"/>
      <c r="R42" s="22"/>
      <c r="S42" s="22"/>
      <c r="T42" s="22"/>
      <c r="U42" s="22"/>
      <c r="V42" s="22"/>
      <c r="W42" s="22"/>
      <c r="X42" s="22"/>
      <c r="Y42" s="22"/>
      <c r="Z42" s="22"/>
      <c r="AA42" s="22"/>
      <c r="AB42" s="22"/>
      <c r="AC42" s="22"/>
      <c r="AD42" s="22"/>
    </row>
    <row r="43">
      <c r="A43" s="18"/>
      <c r="B43" s="18"/>
      <c r="C43" s="19" t="s">
        <v>162</v>
      </c>
      <c r="D43" s="2"/>
      <c r="E43" s="20" t="s">
        <v>163</v>
      </c>
      <c r="F43" s="17"/>
      <c r="G43" s="17"/>
      <c r="H43" s="17"/>
      <c r="I43" s="18"/>
      <c r="J43" s="17"/>
      <c r="K43" s="17"/>
      <c r="L43" s="17"/>
      <c r="M43" s="21"/>
      <c r="N43" s="21"/>
      <c r="O43" s="13"/>
      <c r="P43" s="13"/>
      <c r="Q43" s="17"/>
      <c r="R43" s="22"/>
      <c r="S43" s="22"/>
      <c r="T43" s="22"/>
      <c r="U43" s="22"/>
      <c r="V43" s="22"/>
      <c r="W43" s="22"/>
      <c r="X43" s="22"/>
      <c r="Y43" s="22"/>
      <c r="Z43" s="22"/>
      <c r="AA43" s="22"/>
      <c r="AB43" s="22"/>
      <c r="AC43" s="22"/>
      <c r="AD43" s="22"/>
    </row>
    <row r="44">
      <c r="A44" s="23"/>
      <c r="B44" s="18"/>
      <c r="C44" s="19" t="s">
        <v>164</v>
      </c>
      <c r="D44" s="2"/>
      <c r="E44" s="20" t="s">
        <v>165</v>
      </c>
      <c r="F44" s="17"/>
      <c r="G44" s="17"/>
      <c r="H44" s="17"/>
      <c r="I44" s="18"/>
      <c r="J44" s="17"/>
      <c r="K44" s="17"/>
      <c r="L44" s="17"/>
      <c r="M44" s="21"/>
      <c r="N44" s="21"/>
      <c r="O44" s="13"/>
      <c r="P44" s="13"/>
      <c r="Q44" s="17"/>
      <c r="R44" s="22"/>
      <c r="S44" s="22"/>
      <c r="T44" s="22"/>
      <c r="U44" s="22"/>
      <c r="V44" s="22"/>
      <c r="W44" s="22"/>
      <c r="X44" s="22"/>
      <c r="Y44" s="22"/>
      <c r="Z44" s="22"/>
      <c r="AA44" s="22"/>
      <c r="AB44" s="22"/>
      <c r="AC44" s="22"/>
      <c r="AD44" s="22"/>
    </row>
    <row r="45">
      <c r="A45" s="23" t="b">
        <v>0</v>
      </c>
      <c r="B45" s="9" t="b">
        <v>0</v>
      </c>
      <c r="C45" s="10" t="s">
        <v>166</v>
      </c>
      <c r="D45" s="2"/>
      <c r="E45" s="11" t="s">
        <v>167</v>
      </c>
      <c r="F45" s="2"/>
      <c r="G45" s="11" t="s">
        <v>14</v>
      </c>
      <c r="H45" s="11" t="s">
        <v>68</v>
      </c>
      <c r="I45" s="10" t="s">
        <v>168</v>
      </c>
      <c r="J45" s="11" t="s">
        <v>70</v>
      </c>
      <c r="K45" s="11" t="s">
        <v>169</v>
      </c>
      <c r="L45" s="11" t="s">
        <v>170</v>
      </c>
      <c r="M45" s="12" t="str">
        <f>hyperlink("https://pkmncards.com/card/gloom-obsidian-flames-obf-198/",image("https://i0.wp.com/pkmncards.com/wp-content/uploads/sv3_en_198.jpg?fit=733%2C1024&amp;ssl=1"))</f>
        <v/>
      </c>
      <c r="N45" s="9" t="str">
        <f>image("https://public.getcollectr.com/public-assets/products/product_10012243.png?optimizer=image&amp;format=webp&amp;width=800&amp;quality=85&amp;strip=metadata")</f>
        <v/>
      </c>
      <c r="O45" s="6"/>
      <c r="P45" s="13"/>
      <c r="Q45" s="17"/>
      <c r="R45" s="15"/>
      <c r="S45" s="15"/>
      <c r="T45" s="15"/>
      <c r="U45" s="15"/>
      <c r="V45" s="15"/>
      <c r="W45" s="15"/>
      <c r="X45" s="15"/>
      <c r="Y45" s="15"/>
      <c r="Z45" s="15"/>
      <c r="AA45" s="15"/>
      <c r="AB45" s="15"/>
      <c r="AC45" s="15"/>
      <c r="AD45" s="15"/>
    </row>
    <row r="46">
      <c r="A46" s="18"/>
      <c r="B46" s="18"/>
      <c r="C46" s="19" t="s">
        <v>171</v>
      </c>
      <c r="D46" s="2"/>
      <c r="E46" s="20" t="s">
        <v>172</v>
      </c>
      <c r="F46" s="2"/>
      <c r="G46" s="2"/>
      <c r="H46" s="2"/>
      <c r="I46" s="18"/>
      <c r="J46" s="2"/>
      <c r="K46" s="2"/>
      <c r="L46" s="17"/>
      <c r="M46" s="21"/>
      <c r="N46" s="21"/>
      <c r="O46" s="13"/>
      <c r="P46" s="13"/>
      <c r="Q46" s="17"/>
      <c r="R46" s="22"/>
      <c r="S46" s="22"/>
      <c r="T46" s="22"/>
      <c r="U46" s="22"/>
      <c r="V46" s="22"/>
      <c r="W46" s="22"/>
      <c r="X46" s="22"/>
      <c r="Y46" s="22"/>
      <c r="Z46" s="22"/>
      <c r="AA46" s="22"/>
      <c r="AB46" s="22"/>
      <c r="AC46" s="22"/>
      <c r="AD46" s="22"/>
    </row>
    <row r="47">
      <c r="A47" s="23" t="b">
        <v>0</v>
      </c>
      <c r="B47" s="9" t="b">
        <v>0</v>
      </c>
      <c r="C47" s="10" t="s">
        <v>173</v>
      </c>
      <c r="D47" s="2"/>
      <c r="E47" s="11" t="s">
        <v>174</v>
      </c>
      <c r="F47" s="2"/>
      <c r="G47" s="11" t="s">
        <v>14</v>
      </c>
      <c r="H47" s="11" t="s">
        <v>175</v>
      </c>
      <c r="I47" s="10" t="s">
        <v>176</v>
      </c>
      <c r="J47" s="11" t="s">
        <v>177</v>
      </c>
      <c r="K47" s="11" t="s">
        <v>178</v>
      </c>
      <c r="L47" s="11" t="s">
        <v>179</v>
      </c>
      <c r="M47" s="12" t="str">
        <f>hyperlink("https://pkmncards.com/card/paras-crown-zenith-crz-gg32/",image("https://i0.wp.com/pkmncards.com/wp-content/uploads/en_US-CZ-GG032-paras.jpg?fit=734%2C1024&amp;ssl=1"))</f>
        <v/>
      </c>
      <c r="N47" s="9" t="str">
        <f>image("https://public.getcollectr.com/public-assets/products/product_10009731.png?optimizer=image&amp;format=webp&amp;width=800&amp;quality=85&amp;strip=metadata")</f>
        <v/>
      </c>
      <c r="O47" s="6"/>
      <c r="P47" s="13"/>
      <c r="Q47" s="17"/>
      <c r="R47" s="15"/>
      <c r="S47" s="15"/>
      <c r="T47" s="15"/>
      <c r="U47" s="15"/>
      <c r="V47" s="15"/>
      <c r="W47" s="15"/>
      <c r="X47" s="15"/>
      <c r="Y47" s="15"/>
      <c r="Z47" s="15"/>
      <c r="AA47" s="15"/>
      <c r="AB47" s="15"/>
      <c r="AC47" s="15"/>
      <c r="AD47" s="15"/>
    </row>
    <row r="48">
      <c r="A48" s="23" t="b">
        <v>0</v>
      </c>
      <c r="B48" s="9" t="b">
        <v>0</v>
      </c>
      <c r="C48" s="10" t="s">
        <v>180</v>
      </c>
      <c r="D48" s="2"/>
      <c r="E48" s="11" t="s">
        <v>181</v>
      </c>
      <c r="F48" s="2"/>
      <c r="G48" s="11" t="s">
        <v>14</v>
      </c>
      <c r="H48" s="11" t="s">
        <v>182</v>
      </c>
      <c r="I48" s="10" t="s">
        <v>183</v>
      </c>
      <c r="J48" s="11" t="s">
        <v>184</v>
      </c>
      <c r="K48" s="11" t="s">
        <v>185</v>
      </c>
      <c r="L48" s="11" t="s">
        <v>186</v>
      </c>
      <c r="M48" s="12" t="str">
        <f>hyperlink("https://pkmncards.com/card/parasect-lost-origin-lor-tg01/",image("https://i0.wp.com/pkmncards.com/wp-content/uploads/en_US-SWSH11-TG001-parasect.jpg?fit=734%2C1024&amp;ssl=1"))</f>
        <v/>
      </c>
      <c r="N48" s="9" t="str">
        <f>image("https://public.getcollectr.com/public-assets/products/product_10002702.png?optimizer=image&amp;format=webp&amp;width=800&amp;quality=85&amp;strip=metadata")</f>
        <v/>
      </c>
      <c r="O48" s="6"/>
      <c r="P48" s="13"/>
      <c r="Q48" s="17"/>
      <c r="R48" s="15"/>
      <c r="S48" s="15"/>
      <c r="T48" s="15"/>
      <c r="U48" s="15"/>
      <c r="V48" s="15"/>
      <c r="W48" s="15"/>
      <c r="X48" s="15"/>
      <c r="Y48" s="15"/>
      <c r="Z48" s="15"/>
      <c r="AA48" s="15"/>
      <c r="AB48" s="15"/>
      <c r="AC48" s="15"/>
      <c r="AD48" s="15"/>
    </row>
    <row r="49">
      <c r="A49" s="18"/>
      <c r="B49" s="18"/>
      <c r="C49" s="19" t="s">
        <v>187</v>
      </c>
      <c r="D49" s="2"/>
      <c r="E49" s="20" t="s">
        <v>188</v>
      </c>
      <c r="F49" s="17"/>
      <c r="G49" s="17"/>
      <c r="H49" s="17"/>
      <c r="I49" s="18"/>
      <c r="J49" s="17"/>
      <c r="K49" s="17"/>
      <c r="L49" s="17"/>
      <c r="M49" s="21"/>
      <c r="N49" s="21"/>
      <c r="O49" s="13"/>
      <c r="P49" s="13"/>
      <c r="Q49" s="17"/>
      <c r="R49" s="22"/>
      <c r="S49" s="22"/>
      <c r="T49" s="22"/>
      <c r="U49" s="22"/>
      <c r="V49" s="22"/>
      <c r="W49" s="22"/>
      <c r="X49" s="22"/>
      <c r="Y49" s="22"/>
      <c r="Z49" s="22"/>
      <c r="AA49" s="22"/>
      <c r="AB49" s="22"/>
      <c r="AC49" s="22"/>
      <c r="AD49" s="22"/>
    </row>
    <row r="50">
      <c r="A50" s="18"/>
      <c r="B50" s="18"/>
      <c r="C50" s="19" t="s">
        <v>189</v>
      </c>
      <c r="D50" s="2"/>
      <c r="E50" s="20" t="s">
        <v>190</v>
      </c>
      <c r="F50" s="17"/>
      <c r="G50" s="17"/>
      <c r="H50" s="17"/>
      <c r="I50" s="18"/>
      <c r="J50" s="17"/>
      <c r="K50" s="17"/>
      <c r="L50" s="17"/>
      <c r="M50" s="29"/>
      <c r="N50" s="21"/>
      <c r="O50" s="13"/>
      <c r="P50" s="13"/>
      <c r="Q50" s="17"/>
      <c r="R50" s="22"/>
      <c r="S50" s="22"/>
      <c r="T50" s="22"/>
      <c r="U50" s="22"/>
      <c r="V50" s="22"/>
      <c r="W50" s="22"/>
      <c r="X50" s="22"/>
      <c r="Y50" s="22"/>
      <c r="Z50" s="22"/>
      <c r="AA50" s="22"/>
      <c r="AB50" s="22"/>
      <c r="AC50" s="22"/>
      <c r="AD50" s="22"/>
    </row>
    <row r="51">
      <c r="A51" s="9" t="b">
        <v>0</v>
      </c>
      <c r="B51" s="9" t="b">
        <v>0</v>
      </c>
      <c r="C51" s="10" t="s">
        <v>191</v>
      </c>
      <c r="D51" s="2"/>
      <c r="E51" s="11" t="s">
        <v>192</v>
      </c>
      <c r="F51" s="17"/>
      <c r="G51" s="11" t="s">
        <v>193</v>
      </c>
      <c r="H51" s="11" t="s">
        <v>194</v>
      </c>
      <c r="I51" s="10" t="s">
        <v>195</v>
      </c>
      <c r="J51" s="11" t="s">
        <v>196</v>
      </c>
      <c r="K51" s="11" t="s">
        <v>197</v>
      </c>
      <c r="L51" s="11" t="s">
        <v>198</v>
      </c>
      <c r="M51" s="12" t="str">
        <f>hyperlink("https://pkmncards.com/card/wiglett-scarlet-violet-svi-206/",image("https://i0.wp.com/pkmncards.com/wp-content/uploads/sv1_en_206.jpg?fit=734%2C1024&amp;ssl=1"))</f>
        <v/>
      </c>
      <c r="N51" s="27" t="str">
        <f>hyperlink("https://www.serebii.net/card/scarletex/081.shtml", image("https://www.serebii.net/card/scarletex/81.jpg"))</f>
        <v/>
      </c>
      <c r="O51" s="13"/>
      <c r="P51" s="13"/>
      <c r="Q51" s="17"/>
      <c r="R51" s="28"/>
      <c r="S51" s="28"/>
      <c r="T51" s="28"/>
      <c r="U51" s="28"/>
      <c r="V51" s="28"/>
      <c r="W51" s="28"/>
      <c r="X51" s="28"/>
      <c r="Y51" s="28"/>
      <c r="Z51" s="28"/>
      <c r="AA51" s="28"/>
      <c r="AB51" s="28"/>
      <c r="AC51" s="28"/>
      <c r="AD51" s="28"/>
    </row>
    <row r="52">
      <c r="A52" s="9" t="b">
        <v>0</v>
      </c>
      <c r="B52" s="23" t="b">
        <v>0</v>
      </c>
      <c r="C52" s="10" t="s">
        <v>199</v>
      </c>
      <c r="D52" s="11" t="s">
        <v>200</v>
      </c>
      <c r="E52" s="11" t="s">
        <v>201</v>
      </c>
      <c r="F52" s="17"/>
      <c r="G52" s="11" t="s">
        <v>202</v>
      </c>
      <c r="H52" s="11" t="s">
        <v>203</v>
      </c>
      <c r="I52" s="10" t="s">
        <v>204</v>
      </c>
      <c r="J52" s="11" t="s">
        <v>205</v>
      </c>
      <c r="K52" s="11" t="s">
        <v>206</v>
      </c>
      <c r="L52" s="11" t="s">
        <v>207</v>
      </c>
      <c r="M52" s="9" t="str">
        <f>image("https://www.serebii.net/card/surgingsparks/208.jpg")</f>
        <v/>
      </c>
      <c r="N52" s="9" t="str">
        <f>IMAGE("https://getcollectr-com.b-cdn.net/public-assets/products/product_10017842.png?optimizer=image&amp;format=webp&amp;width=800&amp;quality=85&amp;strip=metadata")</f>
        <v/>
      </c>
      <c r="O52" s="13"/>
      <c r="P52" s="6"/>
      <c r="Q52" s="17"/>
      <c r="R52" s="28"/>
      <c r="S52" s="28"/>
      <c r="T52" s="28"/>
      <c r="U52" s="28"/>
      <c r="V52" s="28"/>
      <c r="W52" s="28"/>
      <c r="X52" s="28"/>
      <c r="Y52" s="28"/>
      <c r="Z52" s="28"/>
      <c r="AA52" s="28"/>
      <c r="AB52" s="28"/>
      <c r="AC52" s="28"/>
      <c r="AD52" s="28"/>
    </row>
    <row r="53">
      <c r="A53" s="23" t="b">
        <v>0</v>
      </c>
      <c r="B53" s="23" t="b">
        <v>0</v>
      </c>
      <c r="C53" s="10" t="s">
        <v>208</v>
      </c>
      <c r="D53" s="11" t="s">
        <v>84</v>
      </c>
      <c r="E53" s="11" t="s">
        <v>209</v>
      </c>
      <c r="F53" s="17"/>
      <c r="G53" s="24" t="s">
        <v>14</v>
      </c>
      <c r="H53" s="24" t="s">
        <v>86</v>
      </c>
      <c r="I53" s="10" t="s">
        <v>210</v>
      </c>
      <c r="J53" s="24" t="s">
        <v>88</v>
      </c>
      <c r="K53" s="24" t="s">
        <v>211</v>
      </c>
      <c r="L53" s="24" t="s">
        <v>212</v>
      </c>
      <c r="M53" s="21" t="str">
        <f>image("https://public.getcollectr.com/public-assets/products/product_633003.webp?optimizer=image&amp;format=webp&amp;width=1200&amp;quality=70&amp;strip=metadata")</f>
        <v/>
      </c>
      <c r="N53" s="21" t="str">
        <f>image("https://public.getcollectr.com/public-assets/products/product_10028004.png?optimizer=image&amp;format=webp&amp;width=800&amp;quality=85&amp;strip=metadata")</f>
        <v/>
      </c>
      <c r="O53" s="13"/>
      <c r="P53" s="13"/>
      <c r="Q53" s="17"/>
      <c r="R53" s="22"/>
      <c r="S53" s="22"/>
      <c r="T53" s="22"/>
      <c r="U53" s="22"/>
      <c r="V53" s="22"/>
      <c r="W53" s="22"/>
      <c r="X53" s="22"/>
      <c r="Y53" s="22"/>
      <c r="Z53" s="22"/>
      <c r="AA53" s="22"/>
      <c r="AB53" s="22"/>
      <c r="AC53" s="22"/>
      <c r="AD53" s="22"/>
    </row>
    <row r="54">
      <c r="A54" s="9" t="b">
        <v>0</v>
      </c>
      <c r="B54" s="23" t="b">
        <v>0</v>
      </c>
      <c r="C54" s="10" t="s">
        <v>213</v>
      </c>
      <c r="D54" s="2"/>
      <c r="E54" s="11" t="s">
        <v>214</v>
      </c>
      <c r="F54" s="17"/>
      <c r="G54" s="11" t="s">
        <v>14</v>
      </c>
      <c r="H54" s="11" t="s">
        <v>215</v>
      </c>
      <c r="I54" s="10" t="s">
        <v>216</v>
      </c>
      <c r="J54" s="11" t="s">
        <v>217</v>
      </c>
      <c r="K54" s="11" t="s">
        <v>218</v>
      </c>
      <c r="L54" s="11" t="s">
        <v>219</v>
      </c>
      <c r="M54" s="27" t="str">
        <f>hyperlink("https://pkmncards.com/card/persian-shrouded-fable-sfa-078/", image("https://pkmncards.com/wp-content/uploads/sv6-5_en_078_std.jpg"))</f>
        <v/>
      </c>
      <c r="N54" s="27" t="str">
        <f>hyperlink("https://www.serebii.net/card/nightwanderer/075.shtml", image("https://www.serebii.net/card/nightwanderer/75.jpg"))</f>
        <v/>
      </c>
      <c r="O54" s="13"/>
      <c r="P54" s="6"/>
      <c r="Q54" s="17"/>
      <c r="R54" s="15"/>
      <c r="S54" s="15"/>
      <c r="T54" s="15"/>
      <c r="U54" s="15"/>
      <c r="V54" s="15"/>
      <c r="W54" s="15"/>
      <c r="X54" s="15"/>
      <c r="Y54" s="15"/>
      <c r="Z54" s="15"/>
      <c r="AA54" s="15"/>
      <c r="AB54" s="15"/>
      <c r="AC54" s="15"/>
      <c r="AD54" s="15"/>
    </row>
    <row r="55">
      <c r="A55" s="23" t="b">
        <v>0</v>
      </c>
      <c r="B55" s="9" t="b">
        <v>0</v>
      </c>
      <c r="C55" s="10" t="s">
        <v>220</v>
      </c>
      <c r="D55" s="2"/>
      <c r="E55" s="11" t="s">
        <v>221</v>
      </c>
      <c r="F55" s="2"/>
      <c r="G55" s="11" t="s">
        <v>14</v>
      </c>
      <c r="H55" s="11" t="s">
        <v>15</v>
      </c>
      <c r="I55" s="10" t="s">
        <v>222</v>
      </c>
      <c r="J55" s="11" t="s">
        <v>17</v>
      </c>
      <c r="K55" s="10" t="s">
        <v>222</v>
      </c>
      <c r="L55" s="11" t="s">
        <v>219</v>
      </c>
      <c r="M55" s="12" t="str">
        <f>hyperlink("https://pkmncards.com/card/psyduck-151-mew-175/",image("https://i0.wp.com/pkmncards.com/wp-content/uploads/sv3-5_en_175_std.jpg?fit=733%2C1024&amp;ssl=1"))</f>
        <v/>
      </c>
      <c r="N55" s="12" t="str">
        <f>hyperlink("https://www.serebii.net/card/pokemoncard151/175.shtml",image("https://www.serebii.net/card/pokemoncard151/175.jpg"))</f>
        <v/>
      </c>
      <c r="O55" s="6"/>
      <c r="P55" s="13"/>
      <c r="Q55" s="17"/>
      <c r="R55" s="15"/>
      <c r="S55" s="15"/>
      <c r="T55" s="15"/>
      <c r="U55" s="15"/>
      <c r="V55" s="15"/>
      <c r="W55" s="15"/>
      <c r="X55" s="15"/>
      <c r="Y55" s="15"/>
      <c r="Z55" s="15"/>
      <c r="AA55" s="15"/>
      <c r="AB55" s="15"/>
      <c r="AC55" s="15"/>
      <c r="AD55" s="15"/>
    </row>
    <row r="56">
      <c r="A56" s="18"/>
      <c r="B56" s="18"/>
      <c r="C56" s="19" t="s">
        <v>223</v>
      </c>
      <c r="D56" s="2"/>
      <c r="E56" s="20" t="s">
        <v>224</v>
      </c>
      <c r="F56" s="17"/>
      <c r="G56" s="17"/>
      <c r="H56" s="17"/>
      <c r="I56" s="18"/>
      <c r="J56" s="17"/>
      <c r="K56" s="17"/>
      <c r="L56" s="17"/>
      <c r="M56" s="21"/>
      <c r="N56" s="21"/>
      <c r="O56" s="13"/>
      <c r="P56" s="13"/>
      <c r="Q56" s="17"/>
      <c r="R56" s="22"/>
      <c r="S56" s="22"/>
      <c r="T56" s="22"/>
      <c r="U56" s="22"/>
      <c r="V56" s="22"/>
      <c r="W56" s="22"/>
      <c r="X56" s="22"/>
      <c r="Y56" s="22"/>
      <c r="Z56" s="22"/>
      <c r="AA56" s="22"/>
      <c r="AB56" s="22"/>
      <c r="AC56" s="22"/>
      <c r="AD56" s="22"/>
    </row>
    <row r="57">
      <c r="A57" s="18"/>
      <c r="B57" s="18"/>
      <c r="C57" s="19" t="s">
        <v>225</v>
      </c>
      <c r="D57" s="2"/>
      <c r="E57" s="20" t="s">
        <v>226</v>
      </c>
      <c r="F57" s="17"/>
      <c r="G57" s="17"/>
      <c r="H57" s="17"/>
      <c r="I57" s="18"/>
      <c r="J57" s="17"/>
      <c r="K57" s="17"/>
      <c r="L57" s="17"/>
      <c r="M57" s="21"/>
      <c r="N57" s="21"/>
      <c r="O57" s="13"/>
      <c r="P57" s="13"/>
      <c r="Q57" s="17"/>
      <c r="R57" s="22"/>
      <c r="S57" s="22"/>
      <c r="T57" s="22"/>
      <c r="U57" s="22"/>
      <c r="V57" s="22"/>
      <c r="W57" s="22"/>
      <c r="X57" s="22"/>
      <c r="Y57" s="22"/>
      <c r="Z57" s="22"/>
      <c r="AA57" s="22"/>
      <c r="AB57" s="22"/>
      <c r="AC57" s="22"/>
      <c r="AD57" s="22"/>
    </row>
    <row r="58">
      <c r="A58" s="18"/>
      <c r="B58" s="18"/>
      <c r="C58" s="19" t="s">
        <v>227</v>
      </c>
      <c r="D58" s="2"/>
      <c r="E58" s="20" t="s">
        <v>228</v>
      </c>
      <c r="F58" s="17"/>
      <c r="G58" s="17"/>
      <c r="H58" s="17"/>
      <c r="I58" s="18"/>
      <c r="J58" s="17"/>
      <c r="K58" s="17"/>
      <c r="L58" s="17"/>
      <c r="M58" s="21"/>
      <c r="N58" s="21"/>
      <c r="O58" s="13"/>
      <c r="P58" s="13"/>
      <c r="Q58" s="17"/>
      <c r="R58" s="22"/>
      <c r="S58" s="22"/>
      <c r="T58" s="22"/>
      <c r="U58" s="22"/>
      <c r="V58" s="22"/>
      <c r="W58" s="22"/>
      <c r="X58" s="22"/>
      <c r="Y58" s="22"/>
      <c r="Z58" s="22"/>
      <c r="AA58" s="22"/>
      <c r="AB58" s="22"/>
      <c r="AC58" s="22"/>
      <c r="AD58" s="22"/>
    </row>
    <row r="59">
      <c r="A59" s="9" t="b">
        <v>0</v>
      </c>
      <c r="B59" s="9" t="b">
        <v>0</v>
      </c>
      <c r="C59" s="10" t="s">
        <v>229</v>
      </c>
      <c r="D59" s="11" t="s">
        <v>230</v>
      </c>
      <c r="E59" s="11" t="s">
        <v>231</v>
      </c>
      <c r="F59" s="17"/>
      <c r="G59" s="11" t="s">
        <v>202</v>
      </c>
      <c r="H59" s="11" t="s">
        <v>232</v>
      </c>
      <c r="I59" s="10" t="s">
        <v>233</v>
      </c>
      <c r="J59" s="11" t="s">
        <v>234</v>
      </c>
      <c r="K59" s="11" t="s">
        <v>235</v>
      </c>
      <c r="L59" s="11" t="s">
        <v>157</v>
      </c>
      <c r="M59" s="27" t="str">
        <f>hyperlink("https://pkmncards.com/card/hisuian-growlithe-twilight-masquerade-twm-181/", image("https://pkmncards.com/wp-content/uploads/sv6_en_181_std.jpg"))</f>
        <v/>
      </c>
      <c r="N59" s="27" t="str">
        <f>hyperlink("https://www.serebii.net/card/crimsonhaze/075.shtml", image("https://www.serebii.net/card/crimsonhaze/75.jpg"))</f>
        <v/>
      </c>
      <c r="O59" s="13"/>
      <c r="P59" s="13"/>
      <c r="Q59" s="17"/>
      <c r="R59" s="15"/>
      <c r="S59" s="15"/>
      <c r="T59" s="15"/>
      <c r="U59" s="15"/>
      <c r="V59" s="15"/>
      <c r="W59" s="15"/>
      <c r="X59" s="15"/>
      <c r="Y59" s="15"/>
      <c r="Z59" s="15"/>
      <c r="AA59" s="15"/>
      <c r="AB59" s="15"/>
      <c r="AC59" s="15"/>
      <c r="AD59" s="15"/>
    </row>
    <row r="60">
      <c r="A60" s="23" t="b">
        <v>0</v>
      </c>
      <c r="B60" s="9" t="b">
        <v>0</v>
      </c>
      <c r="C60" s="10" t="s">
        <v>236</v>
      </c>
      <c r="D60" s="11" t="s">
        <v>230</v>
      </c>
      <c r="E60" s="11" t="s">
        <v>237</v>
      </c>
      <c r="F60" s="17"/>
      <c r="G60" s="11" t="s">
        <v>202</v>
      </c>
      <c r="H60" s="11" t="s">
        <v>182</v>
      </c>
      <c r="I60" s="10" t="s">
        <v>238</v>
      </c>
      <c r="J60" s="11" t="s">
        <v>239</v>
      </c>
      <c r="K60" s="11" t="s">
        <v>240</v>
      </c>
      <c r="L60" s="11" t="s">
        <v>198</v>
      </c>
      <c r="M60" s="12" t="str">
        <f>hyperlink("https://pkmncards.com/card/hisuian-arcanine-lost-origin-lor-tg08/",image("https://i0.wp.com/pkmncards.com/wp-content/uploads/en_US-SWSH11-TG008-hisuian_arcanine.jpg?fit=734%2C1024&amp;ssl=1"))</f>
        <v/>
      </c>
      <c r="N60" s="12" t="str">
        <f>HYPERLINK("https://www.serebii.net/card/darkphantasma/075.shtml", IMAGE("https://www.serebii.net/card/darkphantasma/75.jpg"))</f>
        <v/>
      </c>
      <c r="O60" s="6"/>
      <c r="P60" s="13"/>
      <c r="Q60" s="17"/>
      <c r="R60" s="15"/>
      <c r="S60" s="15"/>
      <c r="T60" s="15"/>
      <c r="U60" s="15"/>
      <c r="V60" s="15"/>
      <c r="W60" s="15"/>
      <c r="X60" s="15"/>
      <c r="Y60" s="15"/>
      <c r="Z60" s="15"/>
      <c r="AA60" s="15"/>
      <c r="AB60" s="15"/>
      <c r="AC60" s="15"/>
      <c r="AD60" s="15"/>
    </row>
    <row r="61">
      <c r="A61" s="18"/>
      <c r="B61" s="18"/>
      <c r="C61" s="19" t="s">
        <v>241</v>
      </c>
      <c r="D61" s="2"/>
      <c r="E61" s="20" t="s">
        <v>242</v>
      </c>
      <c r="F61" s="17"/>
      <c r="G61" s="17"/>
      <c r="H61" s="17"/>
      <c r="I61" s="18"/>
      <c r="J61" s="17"/>
      <c r="K61" s="17"/>
      <c r="L61" s="17"/>
      <c r="M61" s="21"/>
      <c r="N61" s="21"/>
      <c r="O61" s="13"/>
      <c r="P61" s="13"/>
      <c r="Q61" s="17"/>
      <c r="R61" s="22"/>
      <c r="S61" s="22"/>
      <c r="T61" s="22"/>
      <c r="U61" s="22"/>
      <c r="V61" s="22"/>
      <c r="W61" s="22"/>
      <c r="X61" s="22"/>
      <c r="Y61" s="22"/>
      <c r="Z61" s="22"/>
      <c r="AA61" s="22"/>
      <c r="AB61" s="22"/>
      <c r="AC61" s="22"/>
      <c r="AD61" s="22"/>
    </row>
    <row r="62">
      <c r="A62" s="23" t="b">
        <v>0</v>
      </c>
      <c r="B62" s="9" t="b">
        <v>0</v>
      </c>
      <c r="C62" s="10" t="s">
        <v>243</v>
      </c>
      <c r="D62" s="2"/>
      <c r="E62" s="11" t="s">
        <v>244</v>
      </c>
      <c r="F62" s="2"/>
      <c r="G62" s="11" t="s">
        <v>14</v>
      </c>
      <c r="H62" s="11" t="s">
        <v>15</v>
      </c>
      <c r="I62" s="10" t="s">
        <v>245</v>
      </c>
      <c r="J62" s="11" t="s">
        <v>17</v>
      </c>
      <c r="K62" s="10" t="s">
        <v>245</v>
      </c>
      <c r="L62" s="11" t="s">
        <v>246</v>
      </c>
      <c r="M62" s="12" t="str">
        <f>hyperlink("https://pkmncards.com/card/poliwhirl-151-mew-176/",image("https://i0.wp.com/pkmncards.com/wp-content/uploads/sv3-5_en_176_std.jpg?fit=733%2C1024&amp;ssl=1"))</f>
        <v/>
      </c>
      <c r="N62" s="12" t="str">
        <f>hyperlink("https://www.serebii.net/card/pokemoncard151/176.shtml", image("https://www.serebii.net/card/pokemoncard151/176.jpg"))</f>
        <v/>
      </c>
      <c r="O62" s="6"/>
      <c r="P62" s="13"/>
      <c r="Q62" s="17"/>
      <c r="R62" s="15"/>
      <c r="S62" s="15"/>
      <c r="T62" s="15"/>
      <c r="U62" s="15"/>
      <c r="V62" s="15"/>
      <c r="W62" s="15"/>
      <c r="X62" s="15"/>
      <c r="Y62" s="15"/>
      <c r="Z62" s="15"/>
      <c r="AA62" s="15"/>
      <c r="AB62" s="15"/>
      <c r="AC62" s="15"/>
      <c r="AD62" s="15"/>
    </row>
    <row r="63">
      <c r="A63" s="18"/>
      <c r="B63" s="18"/>
      <c r="C63" s="19" t="s">
        <v>247</v>
      </c>
      <c r="D63" s="2"/>
      <c r="E63" s="20" t="s">
        <v>248</v>
      </c>
      <c r="F63" s="17"/>
      <c r="G63" s="17"/>
      <c r="H63" s="17"/>
      <c r="I63" s="18"/>
      <c r="J63" s="17"/>
      <c r="K63" s="17"/>
      <c r="L63" s="17"/>
      <c r="M63" s="21"/>
      <c r="N63" s="21"/>
      <c r="O63" s="13"/>
      <c r="P63" s="13"/>
      <c r="Q63" s="17"/>
      <c r="R63" s="22"/>
      <c r="S63" s="22"/>
      <c r="T63" s="22"/>
      <c r="U63" s="22"/>
      <c r="V63" s="22"/>
      <c r="W63" s="22"/>
      <c r="X63" s="22"/>
      <c r="Y63" s="22"/>
      <c r="Z63" s="22"/>
      <c r="AA63" s="22"/>
      <c r="AB63" s="22"/>
      <c r="AC63" s="22"/>
      <c r="AD63" s="22"/>
    </row>
    <row r="64">
      <c r="A64" s="18"/>
      <c r="B64" s="18"/>
      <c r="C64" s="19" t="s">
        <v>249</v>
      </c>
      <c r="D64" s="2"/>
      <c r="E64" s="20" t="s">
        <v>250</v>
      </c>
      <c r="F64" s="17"/>
      <c r="G64" s="17"/>
      <c r="H64" s="17"/>
      <c r="I64" s="18"/>
      <c r="J64" s="17"/>
      <c r="K64" s="17"/>
      <c r="L64" s="17"/>
      <c r="M64" s="21"/>
      <c r="N64" s="21"/>
      <c r="O64" s="13"/>
      <c r="P64" s="13"/>
      <c r="Q64" s="17"/>
      <c r="R64" s="22"/>
      <c r="S64" s="22"/>
      <c r="T64" s="22"/>
      <c r="U64" s="22"/>
      <c r="V64" s="22"/>
      <c r="W64" s="22"/>
      <c r="X64" s="22"/>
      <c r="Y64" s="22"/>
      <c r="Z64" s="22"/>
      <c r="AA64" s="22"/>
      <c r="AB64" s="22"/>
      <c r="AC64" s="22"/>
      <c r="AD64" s="22"/>
    </row>
    <row r="65">
      <c r="A65" s="18"/>
      <c r="B65" s="18"/>
      <c r="C65" s="19" t="s">
        <v>251</v>
      </c>
      <c r="D65" s="2"/>
      <c r="E65" s="20" t="s">
        <v>252</v>
      </c>
      <c r="F65" s="17"/>
      <c r="G65" s="17"/>
      <c r="H65" s="17"/>
      <c r="I65" s="18"/>
      <c r="J65" s="17"/>
      <c r="K65" s="17"/>
      <c r="L65" s="17"/>
      <c r="M65" s="21"/>
      <c r="N65" s="21"/>
      <c r="O65" s="13"/>
      <c r="P65" s="13"/>
      <c r="Q65" s="17"/>
      <c r="R65" s="22"/>
      <c r="S65" s="22"/>
      <c r="T65" s="22"/>
      <c r="U65" s="22"/>
      <c r="V65" s="22"/>
      <c r="W65" s="22"/>
      <c r="X65" s="22"/>
      <c r="Y65" s="22"/>
      <c r="Z65" s="22"/>
      <c r="AA65" s="22"/>
      <c r="AB65" s="22"/>
      <c r="AC65" s="22"/>
      <c r="AD65" s="22"/>
    </row>
    <row r="66">
      <c r="A66" s="23" t="b">
        <v>0</v>
      </c>
      <c r="B66" s="9" t="b">
        <v>0</v>
      </c>
      <c r="C66" s="10" t="s">
        <v>253</v>
      </c>
      <c r="D66" s="2"/>
      <c r="E66" s="11" t="s">
        <v>254</v>
      </c>
      <c r="F66" s="11" t="s">
        <v>24</v>
      </c>
      <c r="G66" s="11" t="s">
        <v>14</v>
      </c>
      <c r="H66" s="11" t="s">
        <v>15</v>
      </c>
      <c r="I66" s="10" t="s">
        <v>255</v>
      </c>
      <c r="J66" s="11" t="s">
        <v>17</v>
      </c>
      <c r="K66" s="10" t="s">
        <v>255</v>
      </c>
      <c r="L66" s="11" t="s">
        <v>256</v>
      </c>
      <c r="M66" s="12" t="str">
        <f>hyperlink("https://pkmncards.com/card/alakazam-ex-151-mew-201/",image("https://i0.wp.com/pkmncards.com/wp-content/uploads/sv3-5_en_201_std.jpg?fit=733%2C1024&amp;ssl=1"))</f>
        <v/>
      </c>
      <c r="N66" s="29" t="str">
        <f>image("https://public.getcollectr.com/public-assets/products/product_10012126.png?optimizer=image&amp;format=webp&amp;width=800&amp;quality=85&amp;strip=metadata")</f>
        <v/>
      </c>
      <c r="O66" s="6"/>
      <c r="P66" s="13"/>
      <c r="Q66" s="2"/>
      <c r="R66" s="15"/>
      <c r="S66" s="15"/>
      <c r="T66" s="15"/>
      <c r="U66" s="15"/>
      <c r="V66" s="15"/>
      <c r="W66" s="15"/>
      <c r="X66" s="15"/>
      <c r="Y66" s="15"/>
      <c r="Z66" s="15"/>
      <c r="AA66" s="15"/>
      <c r="AB66" s="15"/>
      <c r="AC66" s="15"/>
      <c r="AD66" s="15"/>
    </row>
    <row r="67">
      <c r="A67" s="18"/>
      <c r="B67" s="18"/>
      <c r="C67" s="19" t="s">
        <v>257</v>
      </c>
      <c r="D67" s="2"/>
      <c r="E67" s="20" t="s">
        <v>258</v>
      </c>
      <c r="F67" s="17"/>
      <c r="G67" s="17"/>
      <c r="H67" s="17"/>
      <c r="I67" s="18"/>
      <c r="J67" s="17"/>
      <c r="K67" s="17"/>
      <c r="L67" s="17"/>
      <c r="M67" s="21"/>
      <c r="N67" s="21"/>
      <c r="O67" s="13"/>
      <c r="P67" s="13"/>
      <c r="Q67" s="17"/>
      <c r="R67" s="22"/>
      <c r="S67" s="22"/>
      <c r="T67" s="22"/>
      <c r="U67" s="22"/>
      <c r="V67" s="22"/>
      <c r="W67" s="22"/>
      <c r="X67" s="22"/>
      <c r="Y67" s="22"/>
      <c r="Z67" s="22"/>
      <c r="AA67" s="22"/>
      <c r="AB67" s="22"/>
      <c r="AC67" s="22"/>
      <c r="AD67" s="22"/>
    </row>
    <row r="68">
      <c r="A68" s="23" t="b">
        <v>0</v>
      </c>
      <c r="B68" s="9" t="b">
        <v>0</v>
      </c>
      <c r="C68" s="10" t="s">
        <v>259</v>
      </c>
      <c r="D68" s="2"/>
      <c r="E68" s="11" t="s">
        <v>260</v>
      </c>
      <c r="F68" s="2"/>
      <c r="G68" s="11" t="s">
        <v>14</v>
      </c>
      <c r="H68" s="11" t="s">
        <v>15</v>
      </c>
      <c r="I68" s="10" t="s">
        <v>261</v>
      </c>
      <c r="J68" s="11" t="s">
        <v>17</v>
      </c>
      <c r="K68" s="10" t="s">
        <v>261</v>
      </c>
      <c r="L68" s="11" t="s">
        <v>262</v>
      </c>
      <c r="M68" s="12" t="str">
        <f>hyperlink("https://pkmncards.com/card/machoke-151-mew-177/",image("https://i0.wp.com/pkmncards.com/wp-content/uploads/sv3-5_en_177_std.jpg?fit=733%2C1024&amp;ssl=1"))</f>
        <v/>
      </c>
      <c r="N68" s="9" t="str">
        <f>image("https://public.getcollectr.com/public-assets/products/product_10012100.png?optimizer=image&amp;format=webp&amp;width=800&amp;quality=85&amp;strip=metadata")</f>
        <v/>
      </c>
      <c r="O68" s="6"/>
      <c r="P68" s="13"/>
      <c r="Q68" s="17"/>
      <c r="R68" s="15"/>
      <c r="S68" s="15"/>
      <c r="T68" s="15"/>
      <c r="U68" s="15"/>
      <c r="V68" s="15"/>
      <c r="W68" s="15"/>
      <c r="X68" s="15"/>
      <c r="Y68" s="15"/>
      <c r="Z68" s="15"/>
      <c r="AA68" s="15"/>
      <c r="AB68" s="15"/>
      <c r="AC68" s="15"/>
      <c r="AD68" s="15"/>
    </row>
    <row r="69">
      <c r="A69" s="9" t="b">
        <v>0</v>
      </c>
      <c r="B69" s="9" t="b">
        <v>0</v>
      </c>
      <c r="C69" s="10" t="s">
        <v>263</v>
      </c>
      <c r="D69" s="2"/>
      <c r="E69" s="11" t="s">
        <v>264</v>
      </c>
      <c r="F69" s="11" t="s">
        <v>60</v>
      </c>
      <c r="G69" s="11" t="s">
        <v>14</v>
      </c>
      <c r="H69" s="11" t="s">
        <v>61</v>
      </c>
      <c r="I69" s="10" t="s">
        <v>265</v>
      </c>
      <c r="J69" s="11" t="s">
        <v>266</v>
      </c>
      <c r="K69" s="11" t="s">
        <v>267</v>
      </c>
      <c r="L69" s="11" t="s">
        <v>256</v>
      </c>
      <c r="M69" s="12" t="str">
        <f>hyperlink("https://pkmncards.com/card/machamp-v-astral-radiance-asr-172/",image("https://i0.wp.com/pkmncards.com/wp-content/uploads/en_US-SWSH10-172-machamp_v.jpg?fit=734%2C1024&amp;ssl=1"))</f>
        <v/>
      </c>
      <c r="N69" s="9" t="str">
        <f>image("https://public.getcollectr.com/public-assets/products/product_10002873.png?optimizer=image&amp;format=webp&amp;width=800&amp;quality=85&amp;strip=metadata")</f>
        <v/>
      </c>
      <c r="O69" s="13"/>
      <c r="P69" s="13"/>
      <c r="Q69" s="17"/>
      <c r="R69" s="15"/>
      <c r="S69" s="15"/>
      <c r="T69" s="15"/>
      <c r="U69" s="15"/>
      <c r="V69" s="15"/>
      <c r="W69" s="15"/>
      <c r="X69" s="15"/>
      <c r="Y69" s="15"/>
      <c r="Z69" s="15"/>
      <c r="AA69" s="15"/>
      <c r="AB69" s="15"/>
      <c r="AC69" s="15"/>
      <c r="AD69" s="15"/>
    </row>
    <row r="70">
      <c r="A70" s="18"/>
      <c r="B70" s="18"/>
      <c r="C70" s="19" t="s">
        <v>268</v>
      </c>
      <c r="D70" s="2"/>
      <c r="E70" s="20" t="s">
        <v>269</v>
      </c>
      <c r="F70" s="17"/>
      <c r="G70" s="17"/>
      <c r="H70" s="17"/>
      <c r="I70" s="18"/>
      <c r="J70" s="17"/>
      <c r="K70" s="17"/>
      <c r="L70" s="17"/>
      <c r="M70" s="21"/>
      <c r="N70" s="21"/>
      <c r="O70" s="13"/>
      <c r="P70" s="13"/>
      <c r="Q70" s="17"/>
      <c r="R70" s="22"/>
      <c r="S70" s="22"/>
      <c r="T70" s="22"/>
      <c r="U70" s="22"/>
      <c r="V70" s="22"/>
      <c r="W70" s="22"/>
      <c r="X70" s="22"/>
      <c r="Y70" s="22"/>
      <c r="Z70" s="22"/>
      <c r="AA70" s="22"/>
      <c r="AB70" s="22"/>
      <c r="AC70" s="22"/>
      <c r="AD70" s="22"/>
    </row>
    <row r="71">
      <c r="A71" s="18"/>
      <c r="B71" s="18"/>
      <c r="C71" s="19" t="s">
        <v>270</v>
      </c>
      <c r="D71" s="2"/>
      <c r="E71" s="20" t="s">
        <v>271</v>
      </c>
      <c r="F71" s="17"/>
      <c r="G71" s="17"/>
      <c r="H71" s="17"/>
      <c r="I71" s="18"/>
      <c r="J71" s="17"/>
      <c r="K71" s="17"/>
      <c r="L71" s="17"/>
      <c r="M71" s="21"/>
      <c r="N71" s="21"/>
      <c r="O71" s="13"/>
      <c r="P71" s="13"/>
      <c r="Q71" s="17"/>
      <c r="R71" s="22"/>
      <c r="S71" s="22"/>
      <c r="T71" s="22"/>
      <c r="U71" s="22"/>
      <c r="V71" s="22"/>
      <c r="W71" s="22"/>
      <c r="X71" s="22"/>
      <c r="Y71" s="22"/>
      <c r="Z71" s="22"/>
      <c r="AA71" s="22"/>
      <c r="AB71" s="22"/>
      <c r="AC71" s="22"/>
      <c r="AD71" s="22"/>
    </row>
    <row r="72">
      <c r="A72" s="18"/>
      <c r="B72" s="18"/>
      <c r="C72" s="19" t="s">
        <v>272</v>
      </c>
      <c r="D72" s="2"/>
      <c r="E72" s="20" t="s">
        <v>273</v>
      </c>
      <c r="F72" s="17"/>
      <c r="G72" s="17"/>
      <c r="H72" s="17"/>
      <c r="I72" s="18"/>
      <c r="J72" s="17"/>
      <c r="K72" s="17"/>
      <c r="L72" s="17"/>
      <c r="M72" s="21"/>
      <c r="N72" s="21"/>
      <c r="O72" s="13"/>
      <c r="P72" s="13"/>
      <c r="Q72" s="17"/>
      <c r="R72" s="22"/>
      <c r="S72" s="22"/>
      <c r="T72" s="22"/>
      <c r="U72" s="22"/>
      <c r="V72" s="22"/>
      <c r="W72" s="22"/>
      <c r="X72" s="22"/>
      <c r="Y72" s="22"/>
      <c r="Z72" s="22"/>
      <c r="AA72" s="22"/>
      <c r="AB72" s="22"/>
      <c r="AC72" s="22"/>
      <c r="AD72" s="22"/>
    </row>
    <row r="73">
      <c r="A73" s="9" t="b">
        <v>0</v>
      </c>
      <c r="B73" s="9" t="b">
        <v>0</v>
      </c>
      <c r="C73" s="10" t="s">
        <v>274</v>
      </c>
      <c r="D73" s="2"/>
      <c r="E73" s="11" t="s">
        <v>275</v>
      </c>
      <c r="F73" s="17"/>
      <c r="G73" s="11" t="s">
        <v>193</v>
      </c>
      <c r="H73" s="11" t="s">
        <v>194</v>
      </c>
      <c r="I73" s="10" t="s">
        <v>276</v>
      </c>
      <c r="J73" s="11" t="s">
        <v>277</v>
      </c>
      <c r="K73" s="11" t="s">
        <v>278</v>
      </c>
      <c r="L73" s="11" t="s">
        <v>279</v>
      </c>
      <c r="M73" s="12" t="str">
        <f>hyperlink("https://pkmncards.com/card/toedscool-scarlet-violet-svi-201/",image("https://i0.wp.com/pkmncards.com/wp-content/uploads/sv1_en_201.jpg?fit=734%2C1024&amp;ssl=1"))</f>
        <v/>
      </c>
      <c r="N73" s="12" t="str">
        <f>hyperlink("https://www.serebii.net/card/violetex/080.shtml", image("https://www.serebii.net/card/violetex/80.jpg"))</f>
        <v/>
      </c>
      <c r="O73" s="13"/>
      <c r="P73" s="13"/>
      <c r="Q73" s="17"/>
      <c r="R73" s="28"/>
      <c r="S73" s="28"/>
      <c r="T73" s="28"/>
      <c r="U73" s="28"/>
      <c r="V73" s="28"/>
      <c r="W73" s="28"/>
      <c r="X73" s="28"/>
      <c r="Y73" s="28"/>
      <c r="Z73" s="28"/>
      <c r="AA73" s="28"/>
      <c r="AB73" s="28"/>
      <c r="AC73" s="28"/>
      <c r="AD73" s="28"/>
    </row>
    <row r="74">
      <c r="A74" s="9" t="b">
        <v>0</v>
      </c>
      <c r="B74" s="9" t="b">
        <v>0</v>
      </c>
      <c r="C74" s="10" t="s">
        <v>280</v>
      </c>
      <c r="D74" s="2"/>
      <c r="E74" s="11" t="s">
        <v>281</v>
      </c>
      <c r="F74" s="17"/>
      <c r="G74" s="11" t="s">
        <v>193</v>
      </c>
      <c r="H74" s="11" t="s">
        <v>282</v>
      </c>
      <c r="I74" s="10" t="s">
        <v>283</v>
      </c>
      <c r="J74" s="11" t="s">
        <v>284</v>
      </c>
      <c r="K74" s="11" t="s">
        <v>285</v>
      </c>
      <c r="L74" s="11" t="s">
        <v>286</v>
      </c>
      <c r="M74" s="12" t="str">
        <f>hyperlink("https://pkmncards.com/card/toedscruel-paradox-rift-par-185/",image("https://i0.wp.com/pkmncards.com/wp-content/uploads/sv4_en_185_std.jpg?fit=733%2C1024&amp;ssl=1"))</f>
        <v/>
      </c>
      <c r="N74" s="12" t="str">
        <f>HYPERLINK("https://www.serebii.net/card/futureflash/068.shtml", image("https://www.serebii.net/card/futureflash/68.jpg"))</f>
        <v/>
      </c>
      <c r="O74" s="13"/>
      <c r="P74" s="13"/>
      <c r="Q74" s="17"/>
      <c r="R74" s="28"/>
      <c r="S74" s="28"/>
      <c r="T74" s="28"/>
      <c r="U74" s="28"/>
      <c r="V74" s="28"/>
      <c r="W74" s="28"/>
      <c r="X74" s="28"/>
      <c r="Y74" s="28"/>
      <c r="Z74" s="28"/>
      <c r="AA74" s="28"/>
      <c r="AB74" s="28"/>
      <c r="AC74" s="28"/>
      <c r="AD74" s="28"/>
    </row>
    <row r="75">
      <c r="A75" s="18"/>
      <c r="B75" s="18"/>
      <c r="C75" s="19" t="s">
        <v>287</v>
      </c>
      <c r="D75" s="2"/>
      <c r="E75" s="20" t="s">
        <v>288</v>
      </c>
      <c r="F75" s="17"/>
      <c r="G75" s="17"/>
      <c r="H75" s="17"/>
      <c r="I75" s="18"/>
      <c r="J75" s="17"/>
      <c r="K75" s="17"/>
      <c r="L75" s="17"/>
      <c r="M75" s="21"/>
      <c r="N75" s="21"/>
      <c r="O75" s="13"/>
      <c r="P75" s="13"/>
      <c r="Q75" s="17"/>
      <c r="R75" s="22"/>
      <c r="S75" s="22"/>
      <c r="T75" s="22"/>
      <c r="U75" s="22"/>
      <c r="V75" s="22"/>
      <c r="W75" s="22"/>
      <c r="X75" s="22"/>
      <c r="Y75" s="22"/>
      <c r="Z75" s="22"/>
      <c r="AA75" s="22"/>
      <c r="AB75" s="22"/>
      <c r="AC75" s="22"/>
      <c r="AD75" s="22"/>
    </row>
    <row r="76">
      <c r="A76" s="18"/>
      <c r="B76" s="18"/>
      <c r="C76" s="19" t="s">
        <v>289</v>
      </c>
      <c r="D76" s="2"/>
      <c r="E76" s="20" t="s">
        <v>290</v>
      </c>
      <c r="F76" s="17"/>
      <c r="G76" s="17"/>
      <c r="H76" s="17"/>
      <c r="I76" s="18"/>
      <c r="J76" s="17"/>
      <c r="K76" s="17"/>
      <c r="L76" s="17"/>
      <c r="M76" s="21"/>
      <c r="N76" s="21"/>
      <c r="O76" s="13"/>
      <c r="P76" s="13"/>
      <c r="Q76" s="17"/>
      <c r="R76" s="22"/>
      <c r="S76" s="22"/>
      <c r="T76" s="22"/>
      <c r="U76" s="22"/>
      <c r="V76" s="22"/>
      <c r="W76" s="22"/>
      <c r="X76" s="22"/>
      <c r="Y76" s="22"/>
      <c r="Z76" s="22"/>
      <c r="AA76" s="22"/>
      <c r="AB76" s="22"/>
      <c r="AC76" s="22"/>
      <c r="AD76" s="22"/>
    </row>
    <row r="77">
      <c r="A77" s="18"/>
      <c r="B77" s="18"/>
      <c r="C77" s="19" t="s">
        <v>291</v>
      </c>
      <c r="D77" s="2"/>
      <c r="E77" s="20" t="s">
        <v>292</v>
      </c>
      <c r="F77" s="17"/>
      <c r="G77" s="17"/>
      <c r="H77" s="17"/>
      <c r="I77" s="18"/>
      <c r="J77" s="17"/>
      <c r="K77" s="17"/>
      <c r="L77" s="17"/>
      <c r="M77" s="21"/>
      <c r="N77" s="21"/>
      <c r="O77" s="13"/>
      <c r="P77" s="13"/>
      <c r="Q77" s="17"/>
      <c r="R77" s="22"/>
      <c r="S77" s="22"/>
      <c r="T77" s="22"/>
      <c r="U77" s="22"/>
      <c r="V77" s="22"/>
      <c r="W77" s="22"/>
      <c r="X77" s="22"/>
      <c r="Y77" s="22"/>
      <c r="Z77" s="22"/>
      <c r="AA77" s="22"/>
      <c r="AB77" s="22"/>
      <c r="AC77" s="22"/>
      <c r="AD77" s="22"/>
    </row>
    <row r="78">
      <c r="A78" s="18"/>
      <c r="B78" s="18"/>
      <c r="C78" s="19" t="s">
        <v>293</v>
      </c>
      <c r="D78" s="2"/>
      <c r="E78" s="20" t="s">
        <v>294</v>
      </c>
      <c r="F78" s="17"/>
      <c r="G78" s="17"/>
      <c r="H78" s="17"/>
      <c r="I78" s="18"/>
      <c r="J78" s="17"/>
      <c r="K78" s="17"/>
      <c r="L78" s="17"/>
      <c r="M78" s="21"/>
      <c r="N78" s="21"/>
      <c r="O78" s="13"/>
      <c r="P78" s="13"/>
      <c r="Q78" s="17"/>
      <c r="R78" s="22"/>
      <c r="S78" s="22"/>
      <c r="T78" s="22"/>
      <c r="U78" s="22"/>
      <c r="V78" s="22"/>
      <c r="W78" s="22"/>
      <c r="X78" s="22"/>
      <c r="Y78" s="22"/>
      <c r="Z78" s="22"/>
      <c r="AA78" s="22"/>
      <c r="AB78" s="22"/>
      <c r="AC78" s="22"/>
      <c r="AD78" s="22"/>
    </row>
    <row r="79">
      <c r="A79" s="9" t="b">
        <v>0</v>
      </c>
      <c r="B79" s="23" t="b">
        <v>0</v>
      </c>
      <c r="C79" s="10" t="s">
        <v>295</v>
      </c>
      <c r="D79" s="2"/>
      <c r="E79" s="11" t="s">
        <v>296</v>
      </c>
      <c r="F79" s="2"/>
      <c r="G79" s="11" t="s">
        <v>14</v>
      </c>
      <c r="H79" s="11" t="s">
        <v>86</v>
      </c>
      <c r="I79" s="10" t="s">
        <v>297</v>
      </c>
      <c r="J79" s="11" t="s">
        <v>298</v>
      </c>
      <c r="K79" s="11" t="s">
        <v>299</v>
      </c>
      <c r="L79" s="11" t="s">
        <v>300</v>
      </c>
      <c r="M79" s="9" t="str">
        <f>image("https://public.getcollectr.com/public-assets/products/product_632989.jpg?optimizer=image&amp;format=webp&amp;width=1200&amp;quality=70&amp;strip=metadata")</f>
        <v/>
      </c>
      <c r="N79" s="9" t="str">
        <f>image("https://public.getcollectr.com/public-assets/products/product_10026881.png?optimizer=image&amp;format=webp&amp;width=800&amp;quality=85&amp;strip=metadata")</f>
        <v/>
      </c>
      <c r="O79" s="13"/>
      <c r="P79" s="6"/>
      <c r="Q79" s="17"/>
      <c r="R79" s="15"/>
      <c r="S79" s="15"/>
      <c r="T79" s="15"/>
      <c r="U79" s="15"/>
      <c r="V79" s="15"/>
      <c r="W79" s="15"/>
      <c r="X79" s="15"/>
      <c r="Y79" s="15"/>
      <c r="Z79" s="15"/>
      <c r="AA79" s="15"/>
      <c r="AB79" s="15"/>
      <c r="AC79" s="15"/>
      <c r="AD79" s="15"/>
    </row>
    <row r="80">
      <c r="A80" s="23" t="b">
        <v>0</v>
      </c>
      <c r="B80" s="9" t="b">
        <v>0</v>
      </c>
      <c r="C80" s="10" t="s">
        <v>301</v>
      </c>
      <c r="D80" s="2"/>
      <c r="E80" s="11" t="s">
        <v>302</v>
      </c>
      <c r="F80" s="2"/>
      <c r="G80" s="11" t="s">
        <v>14</v>
      </c>
      <c r="H80" s="11" t="s">
        <v>194</v>
      </c>
      <c r="I80" s="10" t="s">
        <v>303</v>
      </c>
      <c r="J80" s="11" t="s">
        <v>277</v>
      </c>
      <c r="K80" s="11" t="s">
        <v>304</v>
      </c>
      <c r="L80" s="11" t="s">
        <v>305</v>
      </c>
      <c r="M80" s="12" t="str">
        <f>hyperlink("https://pkmncards.com/card/slowpoke-scarlet-violet-svi-204/",image("https://i0.wp.com/pkmncards.com/wp-content/uploads/sv1_en_204.jpg?fit=734%2C1024&amp;ssl=1"))</f>
        <v/>
      </c>
      <c r="N80" s="12" t="str">
        <f>hyperlink("https://www.serebii.net/card/violetex/082.shtml", image("https://www.serebii.net/card/violetex/82.jpg"))</f>
        <v/>
      </c>
      <c r="O80" s="6"/>
      <c r="P80" s="13"/>
      <c r="Q80" s="17"/>
      <c r="R80" s="15"/>
      <c r="S80" s="15"/>
      <c r="T80" s="15"/>
      <c r="U80" s="15"/>
      <c r="V80" s="15"/>
      <c r="W80" s="15"/>
      <c r="X80" s="15"/>
      <c r="Y80" s="15"/>
      <c r="Z80" s="15"/>
      <c r="AA80" s="15"/>
      <c r="AB80" s="15"/>
      <c r="AC80" s="15"/>
      <c r="AD80" s="15"/>
    </row>
    <row r="81">
      <c r="A81" s="18"/>
      <c r="B81" s="18"/>
      <c r="C81" s="19" t="s">
        <v>306</v>
      </c>
      <c r="D81" s="2"/>
      <c r="E81" s="20" t="s">
        <v>307</v>
      </c>
      <c r="F81" s="17"/>
      <c r="G81" s="17"/>
      <c r="H81" s="17"/>
      <c r="I81" s="18"/>
      <c r="J81" s="17"/>
      <c r="K81" s="17"/>
      <c r="L81" s="17"/>
      <c r="M81" s="21"/>
      <c r="N81" s="21"/>
      <c r="O81" s="13"/>
      <c r="P81" s="13"/>
      <c r="Q81" s="17"/>
      <c r="R81" s="22"/>
      <c r="S81" s="22"/>
      <c r="T81" s="22"/>
      <c r="U81" s="22"/>
      <c r="V81" s="22"/>
      <c r="W81" s="22"/>
      <c r="X81" s="22"/>
      <c r="Y81" s="22"/>
      <c r="Z81" s="22"/>
      <c r="AA81" s="22"/>
      <c r="AB81" s="22"/>
      <c r="AC81" s="22"/>
      <c r="AD81" s="22"/>
    </row>
    <row r="82">
      <c r="A82" s="9" t="b">
        <v>0</v>
      </c>
      <c r="B82" s="9" t="b">
        <v>0</v>
      </c>
      <c r="C82" s="10" t="s">
        <v>308</v>
      </c>
      <c r="D82" s="2"/>
      <c r="E82" s="11" t="s">
        <v>309</v>
      </c>
      <c r="F82" s="2"/>
      <c r="G82" s="11" t="s">
        <v>14</v>
      </c>
      <c r="H82" s="11" t="s">
        <v>310</v>
      </c>
      <c r="I82" s="10" t="s">
        <v>311</v>
      </c>
      <c r="J82" s="11" t="s">
        <v>312</v>
      </c>
      <c r="K82" s="11" t="s">
        <v>313</v>
      </c>
      <c r="L82" s="11" t="s">
        <v>314</v>
      </c>
      <c r="M82" s="12" t="str">
        <f>hyperlink("https://pkmncards.com/card/magnemite-cosmic-eclipse-cec-242/",image("https://i0.wp.com/pkmncards.com/wp-content/uploads/en_US-SM12-242-magnemite.jpg?fit=734%2C1024&amp;ssl=1"))</f>
        <v/>
      </c>
      <c r="N82" s="12" t="str">
        <f>hyperlink("https://www.serebii.net/card/dreamleague/055.shtml", IMAGE("https://www.serebii.net/card/dreamleague/55.jpg"))</f>
        <v/>
      </c>
      <c r="O82" s="13"/>
      <c r="P82" s="13"/>
      <c r="Q82" s="17"/>
      <c r="R82" s="15"/>
      <c r="S82" s="15"/>
      <c r="T82" s="15"/>
      <c r="U82" s="15"/>
      <c r="V82" s="15"/>
      <c r="W82" s="15"/>
      <c r="X82" s="15"/>
      <c r="Y82" s="15"/>
      <c r="Z82" s="15"/>
      <c r="AA82" s="15"/>
      <c r="AB82" s="15"/>
      <c r="AC82" s="15"/>
      <c r="AD82" s="15"/>
    </row>
    <row r="83">
      <c r="A83" s="23" t="b">
        <v>0</v>
      </c>
      <c r="B83" s="9" t="b">
        <v>0</v>
      </c>
      <c r="C83" s="10" t="s">
        <v>315</v>
      </c>
      <c r="D83" s="2"/>
      <c r="E83" s="11" t="s">
        <v>316</v>
      </c>
      <c r="F83" s="2"/>
      <c r="G83" s="11" t="s">
        <v>14</v>
      </c>
      <c r="H83" s="11" t="s">
        <v>153</v>
      </c>
      <c r="I83" s="10" t="s">
        <v>317</v>
      </c>
      <c r="J83" s="11" t="s">
        <v>205</v>
      </c>
      <c r="K83" s="11" t="s">
        <v>318</v>
      </c>
      <c r="L83" s="11" t="s">
        <v>319</v>
      </c>
      <c r="M83" s="9" t="str">
        <f>image("https://getcollectr-com.b-cdn.net/public-assets/products/product_594386.jpg?optimizer=image&amp;format=webp&amp;width=800&amp;quality=85&amp;strip=metadata")</f>
        <v/>
      </c>
      <c r="N83" s="9" t="str">
        <f>image("https://getcollectr-com.b-cdn.net/public-assets/products/product_10017838.png?optimizer=image&amp;format=webp&amp;width=800&amp;quality=85&amp;strip=metadata")</f>
        <v/>
      </c>
      <c r="O83" s="6"/>
      <c r="P83" s="13"/>
      <c r="Q83" s="2"/>
      <c r="R83" s="15"/>
      <c r="S83" s="15"/>
      <c r="T83" s="15"/>
      <c r="U83" s="15"/>
      <c r="V83" s="15"/>
      <c r="W83" s="15"/>
      <c r="X83" s="15"/>
      <c r="Y83" s="15"/>
      <c r="Z83" s="15"/>
      <c r="AA83" s="15"/>
      <c r="AB83" s="15"/>
      <c r="AC83" s="15"/>
      <c r="AD83" s="15"/>
    </row>
    <row r="84">
      <c r="A84" s="18"/>
      <c r="B84" s="18"/>
      <c r="C84" s="19" t="s">
        <v>320</v>
      </c>
      <c r="D84" s="2"/>
      <c r="E84" s="20" t="s">
        <v>321</v>
      </c>
      <c r="F84" s="17"/>
      <c r="G84" s="17"/>
      <c r="H84" s="17"/>
      <c r="I84" s="18"/>
      <c r="J84" s="17"/>
      <c r="K84" s="17"/>
      <c r="L84" s="17"/>
      <c r="M84" s="21"/>
      <c r="N84" s="21"/>
      <c r="O84" s="13"/>
      <c r="P84" s="13"/>
      <c r="Q84" s="17"/>
      <c r="R84" s="22"/>
      <c r="S84" s="22"/>
      <c r="T84" s="22"/>
      <c r="U84" s="22"/>
      <c r="V84" s="22"/>
      <c r="W84" s="22"/>
      <c r="X84" s="22"/>
      <c r="Y84" s="22"/>
      <c r="Z84" s="22"/>
      <c r="AA84" s="22"/>
      <c r="AB84" s="22"/>
      <c r="AC84" s="22"/>
      <c r="AD84" s="22"/>
    </row>
    <row r="85">
      <c r="A85" s="18"/>
      <c r="B85" s="18"/>
      <c r="C85" s="19" t="s">
        <v>322</v>
      </c>
      <c r="D85" s="2"/>
      <c r="E85" s="20" t="s">
        <v>323</v>
      </c>
      <c r="F85" s="17"/>
      <c r="G85" s="17"/>
      <c r="H85" s="17"/>
      <c r="I85" s="18"/>
      <c r="J85" s="17"/>
      <c r="K85" s="17"/>
      <c r="L85" s="17"/>
      <c r="M85" s="21"/>
      <c r="N85" s="21"/>
      <c r="O85" s="13"/>
      <c r="P85" s="13"/>
      <c r="Q85" s="17"/>
      <c r="R85" s="22"/>
      <c r="S85" s="22"/>
      <c r="T85" s="22"/>
      <c r="U85" s="22"/>
      <c r="V85" s="22"/>
      <c r="W85" s="22"/>
      <c r="X85" s="22"/>
      <c r="Y85" s="22"/>
      <c r="Z85" s="22"/>
      <c r="AA85" s="22"/>
      <c r="AB85" s="22"/>
      <c r="AC85" s="22"/>
      <c r="AD85" s="22"/>
    </row>
    <row r="86">
      <c r="A86" s="18"/>
      <c r="B86" s="18"/>
      <c r="C86" s="19" t="s">
        <v>324</v>
      </c>
      <c r="D86" s="2"/>
      <c r="E86" s="20" t="s">
        <v>325</v>
      </c>
      <c r="F86" s="17"/>
      <c r="G86" s="17"/>
      <c r="H86" s="17"/>
      <c r="I86" s="18"/>
      <c r="J86" s="17"/>
      <c r="K86" s="17"/>
      <c r="L86" s="17"/>
      <c r="M86" s="21"/>
      <c r="N86" s="21"/>
      <c r="O86" s="13"/>
      <c r="P86" s="13"/>
      <c r="Q86" s="17"/>
      <c r="R86" s="22"/>
      <c r="S86" s="22"/>
      <c r="T86" s="22"/>
      <c r="U86" s="22"/>
      <c r="V86" s="22"/>
      <c r="W86" s="22"/>
      <c r="X86" s="22"/>
      <c r="Y86" s="22"/>
      <c r="Z86" s="22"/>
      <c r="AA86" s="22"/>
      <c r="AB86" s="22"/>
      <c r="AC86" s="22"/>
      <c r="AD86" s="22"/>
    </row>
    <row r="87">
      <c r="A87" s="18"/>
      <c r="B87" s="18"/>
      <c r="C87" s="19" t="s">
        <v>326</v>
      </c>
      <c r="D87" s="2"/>
      <c r="E87" s="20" t="s">
        <v>327</v>
      </c>
      <c r="F87" s="17"/>
      <c r="G87" s="17"/>
      <c r="H87" s="17"/>
      <c r="I87" s="18"/>
      <c r="J87" s="17"/>
      <c r="K87" s="17"/>
      <c r="L87" s="17"/>
      <c r="M87" s="21"/>
      <c r="N87" s="21"/>
      <c r="O87" s="13"/>
      <c r="P87" s="13"/>
      <c r="Q87" s="17"/>
      <c r="R87" s="22"/>
      <c r="S87" s="22"/>
      <c r="T87" s="22"/>
      <c r="U87" s="22"/>
      <c r="V87" s="22"/>
      <c r="W87" s="22"/>
      <c r="X87" s="22"/>
      <c r="Y87" s="22"/>
      <c r="Z87" s="22"/>
      <c r="AA87" s="22"/>
      <c r="AB87" s="22"/>
      <c r="AC87" s="22"/>
      <c r="AD87" s="22"/>
    </row>
    <row r="88">
      <c r="A88" s="18"/>
      <c r="B88" s="18"/>
      <c r="C88" s="19" t="s">
        <v>328</v>
      </c>
      <c r="D88" s="2"/>
      <c r="E88" s="20" t="s">
        <v>329</v>
      </c>
      <c r="F88" s="17"/>
      <c r="G88" s="17"/>
      <c r="H88" s="17"/>
      <c r="I88" s="18"/>
      <c r="J88" s="17"/>
      <c r="K88" s="17"/>
      <c r="L88" s="17"/>
      <c r="M88" s="21"/>
      <c r="N88" s="21"/>
      <c r="O88" s="13"/>
      <c r="P88" s="13"/>
      <c r="Q88" s="17"/>
      <c r="R88" s="22"/>
      <c r="S88" s="22"/>
      <c r="T88" s="22"/>
      <c r="U88" s="22"/>
      <c r="V88" s="22"/>
      <c r="W88" s="22"/>
      <c r="X88" s="22"/>
      <c r="Y88" s="22"/>
      <c r="Z88" s="22"/>
      <c r="AA88" s="22"/>
      <c r="AB88" s="22"/>
      <c r="AC88" s="22"/>
      <c r="AD88" s="22"/>
    </row>
    <row r="89">
      <c r="A89" s="18"/>
      <c r="B89" s="18"/>
      <c r="C89" s="19" t="s">
        <v>330</v>
      </c>
      <c r="D89" s="2"/>
      <c r="E89" s="20" t="s">
        <v>331</v>
      </c>
      <c r="F89" s="17"/>
      <c r="G89" s="17"/>
      <c r="H89" s="17"/>
      <c r="I89" s="18"/>
      <c r="J89" s="17"/>
      <c r="K89" s="17"/>
      <c r="L89" s="17"/>
      <c r="M89" s="21"/>
      <c r="N89" s="21"/>
      <c r="O89" s="13"/>
      <c r="P89" s="13"/>
      <c r="Q89" s="17"/>
      <c r="R89" s="22"/>
      <c r="S89" s="22"/>
      <c r="T89" s="22"/>
      <c r="U89" s="22"/>
      <c r="V89" s="22"/>
      <c r="W89" s="22"/>
      <c r="X89" s="22"/>
      <c r="Y89" s="22"/>
      <c r="Z89" s="22"/>
      <c r="AA89" s="22"/>
      <c r="AB89" s="22"/>
      <c r="AC89" s="22"/>
      <c r="AD89" s="22"/>
    </row>
    <row r="90">
      <c r="A90" s="18"/>
      <c r="B90" s="18"/>
      <c r="C90" s="19" t="s">
        <v>332</v>
      </c>
      <c r="D90" s="2"/>
      <c r="E90" s="20" t="s">
        <v>333</v>
      </c>
      <c r="F90" s="17"/>
      <c r="G90" s="17"/>
      <c r="H90" s="17"/>
      <c r="I90" s="18"/>
      <c r="J90" s="17"/>
      <c r="K90" s="17"/>
      <c r="L90" s="17"/>
      <c r="M90" s="21"/>
      <c r="N90" s="21"/>
      <c r="O90" s="13"/>
      <c r="P90" s="13"/>
      <c r="Q90" s="17"/>
      <c r="R90" s="22"/>
      <c r="S90" s="22"/>
      <c r="T90" s="22"/>
      <c r="U90" s="22"/>
      <c r="V90" s="22"/>
      <c r="W90" s="22"/>
      <c r="X90" s="22"/>
      <c r="Y90" s="22"/>
      <c r="Z90" s="22"/>
      <c r="AA90" s="22"/>
      <c r="AB90" s="22"/>
      <c r="AC90" s="22"/>
      <c r="AD90" s="22"/>
    </row>
    <row r="91">
      <c r="A91" s="18"/>
      <c r="B91" s="18"/>
      <c r="C91" s="19" t="s">
        <v>334</v>
      </c>
      <c r="D91" s="2"/>
      <c r="E91" s="20" t="s">
        <v>335</v>
      </c>
      <c r="F91" s="17"/>
      <c r="G91" s="17"/>
      <c r="H91" s="17"/>
      <c r="I91" s="18"/>
      <c r="J91" s="17"/>
      <c r="K91" s="17"/>
      <c r="L91" s="17"/>
      <c r="M91" s="21"/>
      <c r="N91" s="21"/>
      <c r="O91" s="13"/>
      <c r="P91" s="13"/>
      <c r="Q91" s="17"/>
      <c r="R91" s="22"/>
      <c r="S91" s="22"/>
      <c r="T91" s="22"/>
      <c r="U91" s="22"/>
      <c r="V91" s="22"/>
      <c r="W91" s="22"/>
      <c r="X91" s="22"/>
      <c r="Y91" s="22"/>
      <c r="Z91" s="22"/>
      <c r="AA91" s="22"/>
      <c r="AB91" s="22"/>
      <c r="AC91" s="22"/>
      <c r="AD91" s="22"/>
    </row>
    <row r="92">
      <c r="A92" s="18"/>
      <c r="B92" s="18"/>
      <c r="C92" s="19" t="s">
        <v>336</v>
      </c>
      <c r="D92" s="2"/>
      <c r="E92" s="20" t="s">
        <v>337</v>
      </c>
      <c r="F92" s="17"/>
      <c r="G92" s="17"/>
      <c r="H92" s="17"/>
      <c r="I92" s="18"/>
      <c r="J92" s="17"/>
      <c r="K92" s="17"/>
      <c r="L92" s="17"/>
      <c r="M92" s="21"/>
      <c r="N92" s="21"/>
      <c r="O92" s="13"/>
      <c r="P92" s="13"/>
      <c r="Q92" s="17"/>
      <c r="R92" s="22"/>
      <c r="S92" s="22"/>
      <c r="T92" s="22"/>
      <c r="U92" s="22"/>
      <c r="V92" s="22"/>
      <c r="W92" s="22"/>
      <c r="X92" s="22"/>
      <c r="Y92" s="22"/>
      <c r="Z92" s="22"/>
      <c r="AA92" s="22"/>
      <c r="AB92" s="22"/>
      <c r="AC92" s="22"/>
      <c r="AD92" s="22"/>
    </row>
    <row r="93">
      <c r="A93" s="9" t="b">
        <v>0</v>
      </c>
      <c r="B93" s="23" t="b">
        <v>0</v>
      </c>
      <c r="C93" s="10" t="s">
        <v>338</v>
      </c>
      <c r="D93" s="2"/>
      <c r="E93" s="11" t="s">
        <v>339</v>
      </c>
      <c r="F93" s="17"/>
      <c r="G93" s="11" t="s">
        <v>14</v>
      </c>
      <c r="H93" s="11" t="s">
        <v>99</v>
      </c>
      <c r="I93" s="10" t="s">
        <v>340</v>
      </c>
      <c r="J93" s="11" t="s">
        <v>101</v>
      </c>
      <c r="K93" s="11" t="s">
        <v>341</v>
      </c>
      <c r="L93" s="11" t="s">
        <v>342</v>
      </c>
      <c r="M93" s="12" t="str">
        <f>hyperlink("https://pkmncards.com/card/gastly-temporal-forces-tef-177/",image("https://i0.wp.com/pkmncards.com/wp-content/uploads/sv5_en_177_std.jpg?fit=733%2C1024&amp;ssl=1"))</f>
        <v/>
      </c>
      <c r="N93" s="12" t="str">
        <f>hyperlink("https://www.serebii.net/card/wildforce/080.shtml", image("https://www.serebii.net/card/wildforce/80.jpg"))</f>
        <v/>
      </c>
      <c r="O93" s="13"/>
      <c r="P93" s="6"/>
      <c r="Q93" s="17"/>
      <c r="R93" s="15"/>
      <c r="S93" s="15"/>
      <c r="T93" s="15"/>
      <c r="U93" s="15"/>
      <c r="V93" s="15"/>
      <c r="W93" s="15"/>
      <c r="X93" s="15"/>
      <c r="Y93" s="15"/>
      <c r="Z93" s="15"/>
      <c r="AA93" s="15"/>
      <c r="AB93" s="15"/>
      <c r="AC93" s="15"/>
      <c r="AD93" s="15"/>
    </row>
    <row r="94">
      <c r="A94" s="18"/>
      <c r="B94" s="18"/>
      <c r="C94" s="19" t="s">
        <v>343</v>
      </c>
      <c r="D94" s="2"/>
      <c r="E94" s="20" t="s">
        <v>344</v>
      </c>
      <c r="F94" s="17"/>
      <c r="G94" s="17"/>
      <c r="H94" s="17"/>
      <c r="I94" s="18"/>
      <c r="J94" s="17"/>
      <c r="K94" s="17"/>
      <c r="L94" s="17"/>
      <c r="M94" s="21"/>
      <c r="N94" s="21"/>
      <c r="O94" s="13"/>
      <c r="P94" s="13"/>
      <c r="Q94" s="17"/>
      <c r="R94" s="22"/>
      <c r="S94" s="22"/>
      <c r="T94" s="22"/>
      <c r="U94" s="22"/>
      <c r="V94" s="22"/>
      <c r="W94" s="22"/>
      <c r="X94" s="22"/>
      <c r="Y94" s="22"/>
      <c r="Z94" s="22"/>
      <c r="AA94" s="22"/>
      <c r="AB94" s="22"/>
      <c r="AC94" s="22"/>
      <c r="AD94" s="22"/>
    </row>
    <row r="95">
      <c r="A95" s="8" t="b">
        <v>0</v>
      </c>
      <c r="B95" s="9" t="b">
        <v>0</v>
      </c>
      <c r="C95" s="10" t="s">
        <v>345</v>
      </c>
      <c r="D95" s="2"/>
      <c r="E95" s="11" t="s">
        <v>346</v>
      </c>
      <c r="F95" s="2"/>
      <c r="G95" s="11" t="s">
        <v>14</v>
      </c>
      <c r="H95" s="11" t="s">
        <v>182</v>
      </c>
      <c r="I95" s="10" t="s">
        <v>347</v>
      </c>
      <c r="J95" s="11" t="s">
        <v>239</v>
      </c>
      <c r="K95" s="11" t="s">
        <v>348</v>
      </c>
      <c r="L95" s="11" t="s">
        <v>279</v>
      </c>
      <c r="M95" s="12" t="str">
        <f>hyperlink("https://pkmncards.com/card/gengar-lost-origin-lor-tg06/",image("https://i0.wp.com/pkmncards.com/wp-content/uploads/en_US-SWSH11-TG006-gengar.jpg?fit=734%2C1024&amp;ssl=1"))</f>
        <v/>
      </c>
      <c r="N95" s="9" t="str">
        <f>IMAGE("https://www.getcollectr.com/public-assets/products/product_10002704.png")</f>
        <v/>
      </c>
      <c r="O95" s="6"/>
      <c r="P95" s="13"/>
      <c r="Q95" s="17"/>
      <c r="R95" s="15"/>
      <c r="S95" s="15"/>
      <c r="T95" s="15"/>
      <c r="U95" s="15"/>
      <c r="V95" s="15"/>
      <c r="W95" s="15"/>
      <c r="X95" s="15"/>
      <c r="Y95" s="15"/>
      <c r="Z95" s="15"/>
      <c r="AA95" s="15"/>
      <c r="AB95" s="15"/>
      <c r="AC95" s="15"/>
      <c r="AD95" s="15"/>
    </row>
    <row r="96">
      <c r="A96" s="18"/>
      <c r="B96" s="18"/>
      <c r="C96" s="19" t="s">
        <v>349</v>
      </c>
      <c r="D96" s="2"/>
      <c r="E96" s="20" t="s">
        <v>350</v>
      </c>
      <c r="F96" s="17"/>
      <c r="G96" s="17"/>
      <c r="H96" s="17"/>
      <c r="I96" s="18"/>
      <c r="J96" s="17"/>
      <c r="K96" s="17"/>
      <c r="L96" s="17"/>
      <c r="M96" s="21"/>
      <c r="N96" s="21"/>
      <c r="O96" s="13"/>
      <c r="P96" s="13"/>
      <c r="Q96" s="17"/>
      <c r="R96" s="22"/>
      <c r="S96" s="22"/>
      <c r="T96" s="22"/>
      <c r="U96" s="22"/>
      <c r="V96" s="22"/>
      <c r="W96" s="22"/>
      <c r="X96" s="22"/>
      <c r="Y96" s="22"/>
      <c r="Z96" s="22"/>
      <c r="AA96" s="22"/>
      <c r="AB96" s="22"/>
      <c r="AC96" s="22"/>
      <c r="AD96" s="22"/>
    </row>
    <row r="97">
      <c r="A97" s="23" t="b">
        <v>0</v>
      </c>
      <c r="B97" s="23" t="b">
        <v>0</v>
      </c>
      <c r="C97" s="10" t="s">
        <v>351</v>
      </c>
      <c r="D97" s="2"/>
      <c r="E97" s="11" t="s">
        <v>352</v>
      </c>
      <c r="F97" s="2"/>
      <c r="G97" s="11" t="s">
        <v>14</v>
      </c>
      <c r="H97" s="11" t="s">
        <v>194</v>
      </c>
      <c r="I97" s="10" t="s">
        <v>353</v>
      </c>
      <c r="J97" s="11" t="s">
        <v>277</v>
      </c>
      <c r="K97" s="11" t="s">
        <v>354</v>
      </c>
      <c r="L97" s="11" t="s">
        <v>355</v>
      </c>
      <c r="M97" s="12" t="str">
        <f>hyperlink("https://pkmncards.com/card/drowzee-scarlet-violet-svi-210/",image("https://i0.wp.com/pkmncards.com/wp-content/uploads/sv1_en_210.jpg?fit=734%2C1024&amp;ssl=1"))</f>
        <v/>
      </c>
      <c r="N97" s="12" t="str">
        <f>hyperlink("https://www.serebii.net/card/violetex/086.shtml", image("https://www.serebii.net/card/violetex/86.jpg"))</f>
        <v/>
      </c>
      <c r="O97" s="6"/>
      <c r="P97" s="6"/>
      <c r="Q97" s="17"/>
      <c r="R97" s="15"/>
      <c r="S97" s="15"/>
      <c r="T97" s="15"/>
      <c r="U97" s="15"/>
      <c r="V97" s="15"/>
      <c r="W97" s="15"/>
      <c r="X97" s="15"/>
      <c r="Y97" s="15"/>
      <c r="Z97" s="15"/>
      <c r="AA97" s="15"/>
      <c r="AB97" s="15"/>
      <c r="AC97" s="15"/>
      <c r="AD97" s="15"/>
    </row>
    <row r="98">
      <c r="A98" s="18"/>
      <c r="B98" s="18"/>
      <c r="C98" s="19" t="s">
        <v>356</v>
      </c>
      <c r="D98" s="2"/>
      <c r="E98" s="20" t="s">
        <v>357</v>
      </c>
      <c r="F98" s="17"/>
      <c r="G98" s="17"/>
      <c r="H98" s="17"/>
      <c r="I98" s="18"/>
      <c r="J98" s="17"/>
      <c r="K98" s="17"/>
      <c r="L98" s="17"/>
      <c r="M98" s="21"/>
      <c r="N98" s="21"/>
      <c r="O98" s="13"/>
      <c r="P98" s="13"/>
      <c r="Q98" s="17"/>
      <c r="R98" s="22"/>
      <c r="S98" s="22"/>
      <c r="T98" s="22"/>
      <c r="U98" s="22"/>
      <c r="V98" s="22"/>
      <c r="W98" s="22"/>
      <c r="X98" s="22"/>
      <c r="Y98" s="22"/>
      <c r="Z98" s="22"/>
      <c r="AA98" s="22"/>
      <c r="AB98" s="22"/>
      <c r="AC98" s="22"/>
      <c r="AD98" s="22"/>
    </row>
    <row r="99">
      <c r="A99" s="18"/>
      <c r="B99" s="18"/>
      <c r="C99" s="19" t="s">
        <v>358</v>
      </c>
      <c r="D99" s="2"/>
      <c r="E99" s="20" t="s">
        <v>359</v>
      </c>
      <c r="F99" s="17"/>
      <c r="G99" s="17"/>
      <c r="H99" s="17"/>
      <c r="I99" s="18"/>
      <c r="J99" s="17"/>
      <c r="K99" s="17"/>
      <c r="L99" s="17"/>
      <c r="M99" s="21"/>
      <c r="N99" s="21"/>
      <c r="O99" s="13"/>
      <c r="P99" s="13"/>
      <c r="Q99" s="17"/>
      <c r="R99" s="22"/>
      <c r="S99" s="22"/>
      <c r="T99" s="22"/>
      <c r="U99" s="22"/>
      <c r="V99" s="22"/>
      <c r="W99" s="22"/>
      <c r="X99" s="22"/>
      <c r="Y99" s="22"/>
      <c r="Z99" s="22"/>
      <c r="AA99" s="22"/>
      <c r="AB99" s="22"/>
      <c r="AC99" s="22"/>
      <c r="AD99" s="22"/>
    </row>
    <row r="100">
      <c r="A100" s="18"/>
      <c r="B100" s="18"/>
      <c r="C100" s="19" t="s">
        <v>360</v>
      </c>
      <c r="D100" s="2"/>
      <c r="E100" s="20" t="s">
        <v>361</v>
      </c>
      <c r="F100" s="17"/>
      <c r="G100" s="17"/>
      <c r="H100" s="17"/>
      <c r="I100" s="18"/>
      <c r="J100" s="17"/>
      <c r="K100" s="17"/>
      <c r="L100" s="17"/>
      <c r="M100" s="21"/>
      <c r="N100" s="21"/>
      <c r="O100" s="13"/>
      <c r="P100" s="13"/>
      <c r="Q100" s="17"/>
      <c r="R100" s="22"/>
      <c r="S100" s="22"/>
      <c r="T100" s="22"/>
      <c r="U100" s="22"/>
      <c r="V100" s="22"/>
      <c r="W100" s="22"/>
      <c r="X100" s="22"/>
      <c r="Y100" s="22"/>
      <c r="Z100" s="22"/>
      <c r="AA100" s="22"/>
      <c r="AB100" s="22"/>
      <c r="AC100" s="22"/>
      <c r="AD100" s="22"/>
    </row>
    <row r="101">
      <c r="A101" s="23" t="b">
        <v>0</v>
      </c>
      <c r="B101" s="9" t="b">
        <v>0</v>
      </c>
      <c r="C101" s="10" t="s">
        <v>362</v>
      </c>
      <c r="D101" s="11" t="s">
        <v>230</v>
      </c>
      <c r="E101" s="11" t="s">
        <v>363</v>
      </c>
      <c r="F101" s="2"/>
      <c r="G101" s="11" t="s">
        <v>202</v>
      </c>
      <c r="H101" s="11" t="s">
        <v>175</v>
      </c>
      <c r="I101" s="10" t="s">
        <v>364</v>
      </c>
      <c r="J101" s="11" t="s">
        <v>177</v>
      </c>
      <c r="K101" s="11" t="s">
        <v>365</v>
      </c>
      <c r="L101" s="11" t="s">
        <v>366</v>
      </c>
      <c r="M101" s="12" t="str">
        <f>hyperlink("https://pkmncards.com/card/hisuian-voltorb-crown-zenith-crz-gg01/",image("https://i0.wp.com/pkmncards.com/wp-content/uploads/en_US-CZ-GG001-hisuian_voltorb.jpg?fit=734%2C1024&amp;ssl=1"))</f>
        <v/>
      </c>
      <c r="N101" s="9" t="str">
        <f>IMAGE("https://getcollectr-com.b-cdn.net/public-assets/products/product_10009697.png?optimizer=image&amp;format=webp&amp;width=800&amp;quality=85&amp;strip=metadata")</f>
        <v/>
      </c>
      <c r="O101" s="6"/>
      <c r="P101" s="13"/>
      <c r="Q101" s="17"/>
      <c r="R101" s="15"/>
      <c r="S101" s="15"/>
      <c r="T101" s="15"/>
      <c r="U101" s="15"/>
      <c r="V101" s="15"/>
      <c r="W101" s="15"/>
      <c r="X101" s="15"/>
      <c r="Y101" s="15"/>
      <c r="Z101" s="15"/>
      <c r="AA101" s="15"/>
      <c r="AB101" s="15"/>
      <c r="AC101" s="15"/>
      <c r="AD101" s="15"/>
    </row>
    <row r="102">
      <c r="A102" s="18"/>
      <c r="B102" s="18"/>
      <c r="C102" s="19" t="s">
        <v>367</v>
      </c>
      <c r="D102" s="2"/>
      <c r="E102" s="20" t="s">
        <v>368</v>
      </c>
      <c r="F102" s="2"/>
      <c r="G102" s="2"/>
      <c r="H102" s="2"/>
      <c r="I102" s="18"/>
      <c r="J102" s="2"/>
      <c r="K102" s="2"/>
      <c r="L102" s="2"/>
      <c r="M102" s="21"/>
      <c r="N102" s="21"/>
      <c r="O102" s="13"/>
      <c r="P102" s="13"/>
      <c r="Q102" s="17"/>
      <c r="R102" s="22"/>
      <c r="S102" s="22"/>
      <c r="T102" s="22"/>
      <c r="U102" s="22"/>
      <c r="V102" s="22"/>
      <c r="W102" s="22"/>
      <c r="X102" s="22"/>
      <c r="Y102" s="22"/>
      <c r="Z102" s="22"/>
      <c r="AA102" s="22"/>
      <c r="AB102" s="22"/>
      <c r="AC102" s="22"/>
      <c r="AD102" s="22"/>
    </row>
    <row r="103">
      <c r="A103" s="8" t="b">
        <v>0</v>
      </c>
      <c r="B103" s="8" t="b">
        <v>0</v>
      </c>
      <c r="C103" s="10" t="s">
        <v>369</v>
      </c>
      <c r="D103" s="2"/>
      <c r="E103" s="11" t="s">
        <v>370</v>
      </c>
      <c r="F103" s="17"/>
      <c r="G103" s="11" t="s">
        <v>14</v>
      </c>
      <c r="H103" s="11" t="s">
        <v>203</v>
      </c>
      <c r="I103" s="10" t="s">
        <v>371</v>
      </c>
      <c r="J103" s="11" t="s">
        <v>372</v>
      </c>
      <c r="K103" s="11" t="s">
        <v>373</v>
      </c>
      <c r="L103" s="11" t="s">
        <v>374</v>
      </c>
      <c r="M103" s="21" t="str">
        <f>image("https://www.serebii.net/card/surgingsparks/192.jpg")</f>
        <v/>
      </c>
      <c r="N103" s="27" t="str">
        <f>hyperlink("https://www.serebii.net/card/paradisedragona/065.shtml", image("https://www.serebii.net/card/paradisedragona/65.jpg"))</f>
        <v/>
      </c>
      <c r="O103" s="13"/>
      <c r="P103" s="6"/>
      <c r="Q103" s="17"/>
      <c r="R103" s="15"/>
      <c r="S103" s="15"/>
      <c r="T103" s="15"/>
      <c r="U103" s="15"/>
      <c r="V103" s="15"/>
      <c r="W103" s="15"/>
      <c r="X103" s="15"/>
      <c r="Y103" s="15"/>
      <c r="Z103" s="15"/>
      <c r="AA103" s="15"/>
      <c r="AB103" s="15"/>
      <c r="AC103" s="15"/>
      <c r="AD103" s="15"/>
    </row>
    <row r="104">
      <c r="A104" s="9" t="b">
        <v>0</v>
      </c>
      <c r="B104" s="9" t="b">
        <v>0</v>
      </c>
      <c r="C104" s="10" t="s">
        <v>375</v>
      </c>
      <c r="D104" s="11" t="s">
        <v>200</v>
      </c>
      <c r="E104" s="11" t="s">
        <v>376</v>
      </c>
      <c r="F104" s="11" t="s">
        <v>377</v>
      </c>
      <c r="G104" s="11" t="s">
        <v>202</v>
      </c>
      <c r="H104" s="11" t="s">
        <v>378</v>
      </c>
      <c r="I104" s="10" t="s">
        <v>379</v>
      </c>
      <c r="J104" s="11" t="s">
        <v>380</v>
      </c>
      <c r="K104" s="11" t="s">
        <v>381</v>
      </c>
      <c r="L104" s="11" t="s">
        <v>382</v>
      </c>
      <c r="M104" s="12" t="str">
        <f>hyperlink("https://pkmncards.com/card/rowlet-alolan-exeggutor-gx-unified-minds-unm-215/",image("https://i0.wp.com/pkmncards.com/wp-content/uploads/en_US-SM11-215-rowlet_alolan_exeggutor_gx.jpg?fit=734%2C1024&amp;ssl=1"))</f>
        <v/>
      </c>
      <c r="N104" s="9" t="str">
        <f>image("https://public.getcollectr.com/public-assets/products/product_10005009.png?optimizer=image&amp;format=webp&amp;width=800&amp;quality=85&amp;strip=metadata")</f>
        <v/>
      </c>
      <c r="O104" s="13"/>
      <c r="P104" s="13"/>
      <c r="Q104" s="17"/>
      <c r="R104" s="15"/>
      <c r="S104" s="15"/>
      <c r="T104" s="15"/>
      <c r="U104" s="15"/>
      <c r="V104" s="15"/>
      <c r="W104" s="15"/>
      <c r="X104" s="15"/>
      <c r="Y104" s="15"/>
      <c r="Z104" s="15"/>
      <c r="AA104" s="15"/>
      <c r="AB104" s="15"/>
      <c r="AC104" s="15"/>
      <c r="AD104" s="15"/>
    </row>
    <row r="105">
      <c r="A105" s="18"/>
      <c r="B105" s="18"/>
      <c r="C105" s="19" t="s">
        <v>383</v>
      </c>
      <c r="D105" s="2"/>
      <c r="E105" s="20" t="s">
        <v>384</v>
      </c>
      <c r="F105" s="17"/>
      <c r="G105" s="17"/>
      <c r="H105" s="17"/>
      <c r="I105" s="18"/>
      <c r="J105" s="17"/>
      <c r="K105" s="17"/>
      <c r="L105" s="17"/>
      <c r="M105" s="21"/>
      <c r="N105" s="21"/>
      <c r="O105" s="13"/>
      <c r="P105" s="13"/>
      <c r="Q105" s="17"/>
      <c r="R105" s="22"/>
      <c r="S105" s="22"/>
      <c r="T105" s="22"/>
      <c r="U105" s="22"/>
      <c r="V105" s="22"/>
      <c r="W105" s="22"/>
      <c r="X105" s="22"/>
      <c r="Y105" s="22"/>
      <c r="Z105" s="22"/>
      <c r="AA105" s="22"/>
      <c r="AB105" s="22"/>
      <c r="AC105" s="22"/>
      <c r="AD105" s="22"/>
    </row>
    <row r="106">
      <c r="A106" s="18"/>
      <c r="B106" s="18"/>
      <c r="C106" s="19" t="s">
        <v>385</v>
      </c>
      <c r="D106" s="2"/>
      <c r="E106" s="20" t="s">
        <v>386</v>
      </c>
      <c r="F106" s="17"/>
      <c r="G106" s="17"/>
      <c r="H106" s="17"/>
      <c r="I106" s="18"/>
      <c r="J106" s="17"/>
      <c r="K106" s="17"/>
      <c r="L106" s="17"/>
      <c r="M106" s="21"/>
      <c r="N106" s="21"/>
      <c r="O106" s="13"/>
      <c r="P106" s="13"/>
      <c r="Q106" s="17"/>
      <c r="R106" s="22"/>
      <c r="S106" s="22"/>
      <c r="T106" s="22"/>
      <c r="U106" s="22"/>
      <c r="V106" s="22"/>
      <c r="W106" s="22"/>
      <c r="X106" s="22"/>
      <c r="Y106" s="22"/>
      <c r="Z106" s="22"/>
      <c r="AA106" s="22"/>
      <c r="AB106" s="22"/>
      <c r="AC106" s="22"/>
      <c r="AD106" s="22"/>
    </row>
    <row r="107">
      <c r="A107" s="18"/>
      <c r="B107" s="18"/>
      <c r="C107" s="19" t="s">
        <v>387</v>
      </c>
      <c r="D107" s="2"/>
      <c r="E107" s="20" t="s">
        <v>388</v>
      </c>
      <c r="F107" s="17"/>
      <c r="G107" s="17"/>
      <c r="H107" s="17"/>
      <c r="I107" s="18"/>
      <c r="J107" s="17"/>
      <c r="K107" s="17"/>
      <c r="L107" s="17"/>
      <c r="M107" s="21"/>
      <c r="N107" s="21"/>
      <c r="O107" s="13"/>
      <c r="P107" s="13"/>
      <c r="Q107" s="17"/>
      <c r="R107" s="22"/>
      <c r="S107" s="22"/>
      <c r="T107" s="22"/>
      <c r="U107" s="22"/>
      <c r="V107" s="22"/>
      <c r="W107" s="22"/>
      <c r="X107" s="22"/>
      <c r="Y107" s="22"/>
      <c r="Z107" s="22"/>
      <c r="AA107" s="22"/>
      <c r="AB107" s="22"/>
      <c r="AC107" s="22"/>
      <c r="AD107" s="22"/>
    </row>
    <row r="108">
      <c r="A108" s="18"/>
      <c r="B108" s="18"/>
      <c r="C108" s="19" t="s">
        <v>389</v>
      </c>
      <c r="D108" s="2"/>
      <c r="E108" s="20" t="s">
        <v>390</v>
      </c>
      <c r="F108" s="17"/>
      <c r="G108" s="17"/>
      <c r="H108" s="17"/>
      <c r="I108" s="18"/>
      <c r="J108" s="17"/>
      <c r="K108" s="17"/>
      <c r="L108" s="17"/>
      <c r="M108" s="21"/>
      <c r="N108" s="21"/>
      <c r="O108" s="13"/>
      <c r="P108" s="13"/>
      <c r="Q108" s="17"/>
      <c r="R108" s="22"/>
      <c r="S108" s="22"/>
      <c r="T108" s="22"/>
      <c r="U108" s="22"/>
      <c r="V108" s="22"/>
      <c r="W108" s="22"/>
      <c r="X108" s="22"/>
      <c r="Y108" s="22"/>
      <c r="Z108" s="22"/>
      <c r="AA108" s="22"/>
      <c r="AB108" s="22"/>
      <c r="AC108" s="22"/>
      <c r="AD108" s="22"/>
    </row>
    <row r="109">
      <c r="A109" s="8" t="b">
        <v>0</v>
      </c>
      <c r="B109" s="9" t="b">
        <v>0</v>
      </c>
      <c r="C109" s="10" t="s">
        <v>391</v>
      </c>
      <c r="D109" s="2"/>
      <c r="E109" s="11" t="s">
        <v>392</v>
      </c>
      <c r="F109" s="17"/>
      <c r="G109" s="11" t="s">
        <v>14</v>
      </c>
      <c r="H109" s="11" t="s">
        <v>99</v>
      </c>
      <c r="I109" s="10" t="s">
        <v>393</v>
      </c>
      <c r="J109" s="11" t="s">
        <v>394</v>
      </c>
      <c r="K109" s="11" t="s">
        <v>395</v>
      </c>
      <c r="L109" s="11" t="s">
        <v>396</v>
      </c>
      <c r="M109" s="12" t="str">
        <f>hyperlink("https://pkmncards.com/card/lickitung-temporal-forces-tef-180/",image("https://i0.wp.com/pkmncards.com/wp-content/uploads/sv5_en_180_std.jpg?fit=733%2C1024&amp;ssl=1"))</f>
        <v/>
      </c>
      <c r="N109" s="12" t="str">
        <f>hyperlink("https://www.serebii.net/card/cyberjudge/082.shtml", image("https://www.serebii.net/card/cyberjudge/82.jpg"))</f>
        <v/>
      </c>
      <c r="O109" s="6"/>
      <c r="P109" s="13"/>
      <c r="Q109" s="17"/>
      <c r="R109" s="15"/>
      <c r="S109" s="15"/>
      <c r="T109" s="15"/>
      <c r="U109" s="15"/>
      <c r="V109" s="15"/>
      <c r="W109" s="15"/>
      <c r="X109" s="15"/>
      <c r="Y109" s="15"/>
      <c r="Z109" s="15"/>
      <c r="AA109" s="15"/>
      <c r="AB109" s="15"/>
      <c r="AC109" s="15"/>
      <c r="AD109" s="15"/>
    </row>
    <row r="110">
      <c r="A110" s="8" t="b">
        <v>0</v>
      </c>
      <c r="B110" s="9" t="b">
        <v>0</v>
      </c>
      <c r="C110" s="10" t="s">
        <v>397</v>
      </c>
      <c r="D110" s="2"/>
      <c r="E110" s="11" t="s">
        <v>398</v>
      </c>
      <c r="F110" s="2"/>
      <c r="G110" s="11" t="s">
        <v>14</v>
      </c>
      <c r="H110" s="11" t="s">
        <v>310</v>
      </c>
      <c r="I110" s="10" t="s">
        <v>399</v>
      </c>
      <c r="J110" s="11" t="s">
        <v>312</v>
      </c>
      <c r="K110" s="11" t="s">
        <v>400</v>
      </c>
      <c r="L110" s="11" t="s">
        <v>366</v>
      </c>
      <c r="M110" s="12" t="str">
        <f>hyperlink("https://pkmncards.com/card/koffing-cosmic-eclipse-cec-243/",image("https://i0.wp.com/pkmncards.com/wp-content/uploads/en_US-SM12-243-koffing.jpg?fit=734%2C1024&amp;ssl=1"))</f>
        <v/>
      </c>
      <c r="N110" s="12" t="str">
        <f>hyperlink("https://www.serebii.net/card/dreamleague/056.shtml", image("https://www.serebii.net/card/dreamleague/56.jpg"))</f>
        <v/>
      </c>
      <c r="O110" s="6"/>
      <c r="P110" s="13"/>
      <c r="Q110" s="17"/>
      <c r="R110" s="15"/>
      <c r="S110" s="15"/>
      <c r="T110" s="15"/>
      <c r="U110" s="15"/>
      <c r="V110" s="15"/>
      <c r="W110" s="15"/>
      <c r="X110" s="15"/>
      <c r="Y110" s="15"/>
      <c r="Z110" s="15"/>
      <c r="AA110" s="15"/>
      <c r="AB110" s="15"/>
      <c r="AC110" s="15"/>
      <c r="AD110" s="15"/>
    </row>
    <row r="111">
      <c r="A111" s="23" t="b">
        <v>0</v>
      </c>
      <c r="B111" s="23" t="b">
        <v>0</v>
      </c>
      <c r="C111" s="10" t="s">
        <v>401</v>
      </c>
      <c r="D111" s="11" t="s">
        <v>84</v>
      </c>
      <c r="E111" s="11" t="s">
        <v>402</v>
      </c>
      <c r="F111" s="17"/>
      <c r="G111" s="24" t="s">
        <v>14</v>
      </c>
      <c r="H111" s="24" t="s">
        <v>86</v>
      </c>
      <c r="I111" s="10" t="s">
        <v>403</v>
      </c>
      <c r="J111" s="24" t="s">
        <v>88</v>
      </c>
      <c r="K111" s="24" t="s">
        <v>404</v>
      </c>
      <c r="L111" s="24" t="s">
        <v>207</v>
      </c>
      <c r="M111" s="21" t="str">
        <f>image("https://public.getcollectr.com/public-assets/products/product_632999.jpg?optimizer=image&amp;format=webp&amp;width=1200&amp;quality=70&amp;strip=metadata")</f>
        <v/>
      </c>
      <c r="N111" s="21" t="str">
        <f>image("https://public.getcollectr.com/public-assets/products/product_10028000.jpg?optimizer=image&amp;format=webp&amp;width=800&amp;quality=85&amp;strip=metadata")</f>
        <v/>
      </c>
      <c r="O111" s="13"/>
      <c r="P111" s="6"/>
      <c r="Q111" s="17"/>
      <c r="R111" s="22"/>
      <c r="S111" s="22"/>
      <c r="T111" s="22"/>
      <c r="U111" s="22"/>
      <c r="V111" s="22"/>
      <c r="W111" s="22"/>
      <c r="X111" s="22"/>
      <c r="Y111" s="22"/>
      <c r="Z111" s="22"/>
      <c r="AA111" s="22"/>
      <c r="AB111" s="22"/>
      <c r="AC111" s="22"/>
      <c r="AD111" s="22"/>
    </row>
    <row r="112">
      <c r="A112" s="18"/>
      <c r="B112" s="18"/>
      <c r="C112" s="19" t="s">
        <v>405</v>
      </c>
      <c r="D112" s="2"/>
      <c r="E112" s="20" t="s">
        <v>406</v>
      </c>
      <c r="F112" s="17"/>
      <c r="G112" s="17"/>
      <c r="H112" s="17"/>
      <c r="I112" s="18"/>
      <c r="J112" s="17"/>
      <c r="K112" s="17"/>
      <c r="L112" s="17"/>
      <c r="M112" s="21"/>
      <c r="N112" s="21"/>
      <c r="O112" s="13"/>
      <c r="P112" s="13"/>
      <c r="Q112" s="17"/>
      <c r="R112" s="22"/>
      <c r="S112" s="22"/>
      <c r="T112" s="22"/>
      <c r="U112" s="22"/>
      <c r="V112" s="22"/>
      <c r="W112" s="22"/>
      <c r="X112" s="22"/>
      <c r="Y112" s="22"/>
      <c r="Z112" s="22"/>
      <c r="AA112" s="22"/>
      <c r="AB112" s="22"/>
      <c r="AC112" s="22"/>
      <c r="AD112" s="22"/>
    </row>
    <row r="113">
      <c r="A113" s="18"/>
      <c r="B113" s="18"/>
      <c r="C113" s="19" t="s">
        <v>407</v>
      </c>
      <c r="D113" s="2"/>
      <c r="E113" s="20" t="s">
        <v>408</v>
      </c>
      <c r="F113" s="17"/>
      <c r="G113" s="17"/>
      <c r="H113" s="17"/>
      <c r="I113" s="18"/>
      <c r="J113" s="17"/>
      <c r="K113" s="17"/>
      <c r="L113" s="17"/>
      <c r="M113" s="21"/>
      <c r="N113" s="21"/>
      <c r="O113" s="13"/>
      <c r="P113" s="13"/>
      <c r="Q113" s="17"/>
      <c r="R113" s="22"/>
      <c r="S113" s="22"/>
      <c r="T113" s="22"/>
      <c r="U113" s="22"/>
      <c r="V113" s="22"/>
      <c r="W113" s="22"/>
      <c r="X113" s="22"/>
      <c r="Y113" s="22"/>
      <c r="Z113" s="22"/>
      <c r="AA113" s="22"/>
      <c r="AB113" s="22"/>
      <c r="AC113" s="22"/>
      <c r="AD113" s="22"/>
    </row>
    <row r="114">
      <c r="A114" s="9" t="b">
        <v>0</v>
      </c>
      <c r="B114" s="8" t="b">
        <v>0</v>
      </c>
      <c r="C114" s="10" t="s">
        <v>409</v>
      </c>
      <c r="D114" s="2"/>
      <c r="E114" s="11" t="s">
        <v>410</v>
      </c>
      <c r="F114" s="17"/>
      <c r="G114" s="11" t="s">
        <v>14</v>
      </c>
      <c r="H114" s="11" t="s">
        <v>232</v>
      </c>
      <c r="I114" s="10" t="s">
        <v>411</v>
      </c>
      <c r="J114" s="11" t="s">
        <v>412</v>
      </c>
      <c r="K114" s="11" t="s">
        <v>413</v>
      </c>
      <c r="L114" s="11" t="s">
        <v>305</v>
      </c>
      <c r="M114" s="27" t="str">
        <f>hyperlink("https://pkmncards.com/card/chansey-twilight-masquerade-twm-187/", image("https://pkmncards.com/wp-content/uploads/sv6_en_187_std.jpg"))</f>
        <v/>
      </c>
      <c r="N114" s="27" t="str">
        <f>hyperlink("https://www.serebii.net/card/maskofchange/113.shtml", image("https://www.serebii.net/card/maskofchange/113.jpg"))</f>
        <v/>
      </c>
      <c r="O114" s="13"/>
      <c r="P114" s="6"/>
      <c r="Q114" s="17"/>
      <c r="R114" s="15"/>
      <c r="S114" s="15"/>
      <c r="T114" s="15"/>
      <c r="U114" s="15"/>
      <c r="V114" s="15"/>
      <c r="W114" s="15"/>
      <c r="X114" s="15"/>
      <c r="Y114" s="15"/>
      <c r="Z114" s="15"/>
      <c r="AA114" s="15"/>
      <c r="AB114" s="15"/>
      <c r="AC114" s="15"/>
      <c r="AD114" s="15"/>
    </row>
    <row r="115">
      <c r="A115" s="8" t="b">
        <v>0</v>
      </c>
      <c r="B115" s="9" t="b">
        <v>0</v>
      </c>
      <c r="C115" s="10" t="s">
        <v>414</v>
      </c>
      <c r="D115" s="2"/>
      <c r="E115" s="11" t="s">
        <v>415</v>
      </c>
      <c r="F115" s="2"/>
      <c r="G115" s="11" t="s">
        <v>14</v>
      </c>
      <c r="H115" s="11" t="s">
        <v>15</v>
      </c>
      <c r="I115" s="10" t="s">
        <v>416</v>
      </c>
      <c r="J115" s="11" t="s">
        <v>17</v>
      </c>
      <c r="K115" s="10" t="s">
        <v>416</v>
      </c>
      <c r="L115" s="11" t="s">
        <v>186</v>
      </c>
      <c r="M115" s="12" t="str">
        <f>hyperlink("https://pkmncards.com/card/tangela-151-mew-178/",image("https://i0.wp.com/pkmncards.com/wp-content/uploads/sv3-5_en_178_std.jpg?fit=733%2C1024&amp;ssl=1"))</f>
        <v/>
      </c>
      <c r="N115" s="12" t="str">
        <f>hyperlink("https://www.serebii.net/card/pokemoncard151/178.shtml",image("https://www.serebii.net/card/pokemoncard151/178.jpg"))</f>
        <v/>
      </c>
      <c r="O115" s="6"/>
      <c r="P115" s="13"/>
      <c r="Q115" s="17"/>
      <c r="R115" s="15"/>
      <c r="S115" s="15"/>
      <c r="T115" s="15"/>
      <c r="U115" s="15"/>
      <c r="V115" s="15"/>
      <c r="W115" s="15"/>
      <c r="X115" s="15"/>
      <c r="Y115" s="15"/>
      <c r="Z115" s="15"/>
      <c r="AA115" s="15"/>
      <c r="AB115" s="15"/>
      <c r="AC115" s="15"/>
      <c r="AD115" s="15"/>
    </row>
    <row r="116">
      <c r="A116" s="23" t="b">
        <v>0</v>
      </c>
      <c r="B116" s="23" t="b">
        <v>0</v>
      </c>
      <c r="C116" s="10" t="s">
        <v>417</v>
      </c>
      <c r="D116" s="2"/>
      <c r="E116" s="11" t="s">
        <v>418</v>
      </c>
      <c r="F116" s="17"/>
      <c r="G116" s="24" t="s">
        <v>14</v>
      </c>
      <c r="H116" s="24" t="s">
        <v>86</v>
      </c>
      <c r="I116" s="10" t="s">
        <v>419</v>
      </c>
      <c r="J116" s="24" t="s">
        <v>88</v>
      </c>
      <c r="K116" s="24" t="s">
        <v>420</v>
      </c>
      <c r="L116" s="24" t="s">
        <v>90</v>
      </c>
      <c r="M116" s="21" t="str">
        <f>image("https://public.getcollectr.com/public-assets/products/product_633004.webp?optimizer=image&amp;format=webp&amp;width=1200&amp;quality=70&amp;strip=metadata")</f>
        <v/>
      </c>
      <c r="N116" s="21" t="str">
        <f>image("https://public.getcollectr.com/public-assets/products/product_10028005.jpg?optimizer=image&amp;format=webp&amp;width=800&amp;quality=85&amp;strip=metadata")</f>
        <v/>
      </c>
      <c r="O116" s="13"/>
      <c r="P116" s="6"/>
      <c r="Q116" s="17"/>
      <c r="R116" s="22"/>
      <c r="S116" s="22"/>
      <c r="T116" s="22"/>
      <c r="U116" s="22"/>
      <c r="V116" s="22"/>
      <c r="W116" s="22"/>
      <c r="X116" s="22"/>
      <c r="Y116" s="22"/>
      <c r="Z116" s="22"/>
      <c r="AA116" s="22"/>
      <c r="AB116" s="22"/>
      <c r="AC116" s="22"/>
      <c r="AD116" s="22"/>
    </row>
    <row r="117">
      <c r="A117" s="9" t="b">
        <v>0</v>
      </c>
      <c r="B117" s="8" t="b">
        <v>0</v>
      </c>
      <c r="C117" s="10" t="s">
        <v>421</v>
      </c>
      <c r="D117" s="2"/>
      <c r="E117" s="11" t="s">
        <v>422</v>
      </c>
      <c r="F117" s="17"/>
      <c r="G117" s="11" t="s">
        <v>14</v>
      </c>
      <c r="H117" s="11" t="s">
        <v>215</v>
      </c>
      <c r="I117" s="10" t="s">
        <v>423</v>
      </c>
      <c r="J117" s="11" t="s">
        <v>217</v>
      </c>
      <c r="K117" s="11" t="s">
        <v>423</v>
      </c>
      <c r="L117" s="11" t="s">
        <v>256</v>
      </c>
      <c r="M117" s="27" t="str">
        <f>hyperlink("https://pkmncards.com/card/horsea-shrouded-fable-sfa-067/", image("https://pkmncards.com/wp-content/uploads/sv6-5_en_067_std.jpg"))</f>
        <v/>
      </c>
      <c r="N117" s="27" t="str">
        <f>hyperlink("https://www.serebii.net/card/nightwanderer/067.shtml", image("https://www.serebii.net/card/nightwanderer/67.jpg"))</f>
        <v/>
      </c>
      <c r="O117" s="13"/>
      <c r="P117" s="6"/>
      <c r="Q117" s="17"/>
      <c r="R117" s="15"/>
      <c r="S117" s="15"/>
      <c r="T117" s="15"/>
      <c r="U117" s="15"/>
      <c r="V117" s="15"/>
      <c r="W117" s="15"/>
      <c r="X117" s="15"/>
      <c r="Y117" s="15"/>
      <c r="Z117" s="15"/>
      <c r="AA117" s="15"/>
      <c r="AB117" s="15"/>
      <c r="AC117" s="15"/>
      <c r="AD117" s="15"/>
    </row>
    <row r="118">
      <c r="A118" s="18"/>
      <c r="B118" s="18"/>
      <c r="C118" s="19" t="s">
        <v>424</v>
      </c>
      <c r="D118" s="2"/>
      <c r="E118" s="20" t="s">
        <v>425</v>
      </c>
      <c r="F118" s="17"/>
      <c r="G118" s="17"/>
      <c r="H118" s="17"/>
      <c r="I118" s="18"/>
      <c r="J118" s="17"/>
      <c r="K118" s="17"/>
      <c r="L118" s="17"/>
      <c r="M118" s="21"/>
      <c r="N118" s="21"/>
      <c r="O118" s="13"/>
      <c r="P118" s="13"/>
      <c r="Q118" s="17"/>
      <c r="R118" s="22"/>
      <c r="S118" s="22"/>
      <c r="T118" s="22"/>
      <c r="U118" s="22"/>
      <c r="V118" s="22"/>
      <c r="W118" s="22"/>
      <c r="X118" s="22"/>
      <c r="Y118" s="22"/>
      <c r="Z118" s="22"/>
      <c r="AA118" s="22"/>
      <c r="AB118" s="22"/>
      <c r="AC118" s="22"/>
      <c r="AD118" s="22"/>
    </row>
    <row r="119">
      <c r="A119" s="18"/>
      <c r="B119" s="18"/>
      <c r="C119" s="19" t="s">
        <v>426</v>
      </c>
      <c r="D119" s="2"/>
      <c r="E119" s="20" t="s">
        <v>427</v>
      </c>
      <c r="F119" s="17"/>
      <c r="G119" s="17"/>
      <c r="H119" s="17"/>
      <c r="I119" s="18"/>
      <c r="J119" s="17"/>
      <c r="K119" s="17"/>
      <c r="L119" s="17"/>
      <c r="M119" s="21"/>
      <c r="N119" s="21"/>
      <c r="O119" s="13"/>
      <c r="P119" s="13"/>
      <c r="Q119" s="17"/>
      <c r="R119" s="22"/>
      <c r="S119" s="22"/>
      <c r="T119" s="22"/>
      <c r="U119" s="22"/>
      <c r="V119" s="22"/>
      <c r="W119" s="22"/>
      <c r="X119" s="22"/>
      <c r="Y119" s="22"/>
      <c r="Z119" s="22"/>
      <c r="AA119" s="22"/>
      <c r="AB119" s="22"/>
      <c r="AC119" s="22"/>
      <c r="AD119" s="22"/>
    </row>
    <row r="120">
      <c r="A120" s="18"/>
      <c r="B120" s="18"/>
      <c r="C120" s="19" t="s">
        <v>428</v>
      </c>
      <c r="D120" s="2"/>
      <c r="E120" s="20" t="s">
        <v>429</v>
      </c>
      <c r="F120" s="17"/>
      <c r="G120" s="17"/>
      <c r="H120" s="17"/>
      <c r="I120" s="18"/>
      <c r="J120" s="17"/>
      <c r="K120" s="17"/>
      <c r="L120" s="17"/>
      <c r="M120" s="21"/>
      <c r="N120" s="21"/>
      <c r="O120" s="13"/>
      <c r="P120" s="13"/>
      <c r="Q120" s="17"/>
      <c r="R120" s="22"/>
      <c r="S120" s="22"/>
      <c r="T120" s="22"/>
      <c r="U120" s="22"/>
      <c r="V120" s="22"/>
      <c r="W120" s="22"/>
      <c r="X120" s="22"/>
      <c r="Y120" s="22"/>
      <c r="Z120" s="22"/>
      <c r="AA120" s="22"/>
      <c r="AB120" s="22"/>
      <c r="AC120" s="22"/>
      <c r="AD120" s="22"/>
    </row>
    <row r="121">
      <c r="A121" s="18"/>
      <c r="B121" s="18"/>
      <c r="C121" s="19" t="s">
        <v>430</v>
      </c>
      <c r="D121" s="2"/>
      <c r="E121" s="20" t="s">
        <v>431</v>
      </c>
      <c r="F121" s="17"/>
      <c r="G121" s="17"/>
      <c r="H121" s="17"/>
      <c r="I121" s="18"/>
      <c r="J121" s="17"/>
      <c r="K121" s="17"/>
      <c r="L121" s="17"/>
      <c r="M121" s="21"/>
      <c r="N121" s="21"/>
      <c r="O121" s="13"/>
      <c r="P121" s="13"/>
      <c r="Q121" s="17"/>
      <c r="R121" s="22"/>
      <c r="S121" s="22"/>
      <c r="T121" s="22"/>
      <c r="U121" s="22"/>
      <c r="V121" s="22"/>
      <c r="W121" s="22"/>
      <c r="X121" s="22"/>
      <c r="Y121" s="22"/>
      <c r="Z121" s="22"/>
      <c r="AA121" s="22"/>
      <c r="AB121" s="22"/>
      <c r="AC121" s="22"/>
      <c r="AD121" s="22"/>
    </row>
    <row r="122">
      <c r="A122" s="9" t="b">
        <v>0</v>
      </c>
      <c r="B122" s="9" t="b">
        <v>0</v>
      </c>
      <c r="C122" s="10" t="s">
        <v>432</v>
      </c>
      <c r="D122" s="2"/>
      <c r="E122" s="11" t="s">
        <v>433</v>
      </c>
      <c r="F122" s="11" t="s">
        <v>60</v>
      </c>
      <c r="G122" s="11" t="s">
        <v>14</v>
      </c>
      <c r="H122" s="11" t="s">
        <v>61</v>
      </c>
      <c r="I122" s="10" t="s">
        <v>434</v>
      </c>
      <c r="J122" s="11" t="s">
        <v>435</v>
      </c>
      <c r="K122" s="11" t="s">
        <v>436</v>
      </c>
      <c r="L122" s="11" t="s">
        <v>279</v>
      </c>
      <c r="M122" s="12" t="str">
        <f>hyperlink("https://pkmncards.com/card/starmie-v-astral-radiance-asr-tg13/",image("https://i0.wp.com/pkmncards.com/wp-content/uploads/en_US-SWSH10-TG013-starmie_v.jpg?fit=734%2C1024&amp;ssl=1"))</f>
        <v/>
      </c>
      <c r="N122" s="12" t="str">
        <f>hyperlink("https://www.serebii.net/card/battleregion/083.shtml", image("https://www.serebii.net/card/battleregion/83.jpg"))</f>
        <v/>
      </c>
      <c r="O122" s="13"/>
      <c r="P122" s="13"/>
      <c r="Q122" s="17"/>
      <c r="R122" s="15"/>
      <c r="S122" s="15"/>
      <c r="T122" s="15"/>
      <c r="U122" s="15"/>
      <c r="V122" s="15"/>
      <c r="W122" s="15"/>
      <c r="X122" s="15"/>
      <c r="Y122" s="15"/>
      <c r="Z122" s="15"/>
      <c r="AA122" s="15"/>
      <c r="AB122" s="15"/>
      <c r="AC122" s="15"/>
      <c r="AD122" s="15"/>
    </row>
    <row r="123">
      <c r="A123" s="8" t="b">
        <v>0</v>
      </c>
      <c r="B123" s="8" t="b">
        <v>0</v>
      </c>
      <c r="C123" s="10" t="s">
        <v>437</v>
      </c>
      <c r="D123" s="2"/>
      <c r="E123" s="11" t="s">
        <v>438</v>
      </c>
      <c r="F123" s="2"/>
      <c r="G123" s="11" t="s">
        <v>14</v>
      </c>
      <c r="H123" s="11" t="s">
        <v>15</v>
      </c>
      <c r="I123" s="10" t="s">
        <v>439</v>
      </c>
      <c r="J123" s="11" t="s">
        <v>17</v>
      </c>
      <c r="K123" s="10" t="s">
        <v>439</v>
      </c>
      <c r="L123" s="11" t="s">
        <v>440</v>
      </c>
      <c r="M123" s="12" t="str">
        <f>hyperlink("https://pkmncards.com/card/mr-mime-151-mew-179/",image("https://i0.wp.com/pkmncards.com/wp-content/uploads/sv3-5_en_179_std.jpg?fit=733%2C1024&amp;ssl=1"))</f>
        <v/>
      </c>
      <c r="N123" s="12" t="str">
        <f>hyperlink("https://www.serebii.net/card/pokemoncard151/179.shtml",image("https://www.serebii.net/card/pokemoncard151/179.jpg"))</f>
        <v/>
      </c>
      <c r="O123" s="6"/>
      <c r="P123" s="13"/>
      <c r="Q123" s="17"/>
      <c r="R123" s="15"/>
      <c r="S123" s="15"/>
      <c r="T123" s="15"/>
      <c r="U123" s="15"/>
      <c r="V123" s="15"/>
      <c r="W123" s="15"/>
      <c r="X123" s="15"/>
      <c r="Y123" s="15"/>
      <c r="Z123" s="15"/>
      <c r="AA123" s="15"/>
      <c r="AB123" s="15"/>
      <c r="AC123" s="15"/>
      <c r="AD123" s="15"/>
    </row>
    <row r="124">
      <c r="A124" s="18"/>
      <c r="B124" s="18"/>
      <c r="C124" s="19" t="s">
        <v>441</v>
      </c>
      <c r="D124" s="2"/>
      <c r="E124" s="20" t="s">
        <v>442</v>
      </c>
      <c r="F124" s="17"/>
      <c r="G124" s="17"/>
      <c r="H124" s="17"/>
      <c r="I124" s="18"/>
      <c r="J124" s="17"/>
      <c r="K124" s="17"/>
      <c r="L124" s="17"/>
      <c r="M124" s="21"/>
      <c r="N124" s="21"/>
      <c r="O124" s="13"/>
      <c r="P124" s="13"/>
      <c r="Q124" s="17"/>
      <c r="R124" s="22"/>
      <c r="S124" s="22"/>
      <c r="T124" s="22"/>
      <c r="U124" s="22"/>
      <c r="V124" s="22"/>
      <c r="W124" s="22"/>
      <c r="X124" s="22"/>
      <c r="Y124" s="22"/>
      <c r="Z124" s="22"/>
      <c r="AA124" s="22"/>
      <c r="AB124" s="22"/>
      <c r="AC124" s="22"/>
      <c r="AD124" s="22"/>
    </row>
    <row r="125">
      <c r="A125" s="8" t="b">
        <v>0</v>
      </c>
      <c r="B125" s="9" t="b">
        <v>0</v>
      </c>
      <c r="C125" s="10" t="s">
        <v>443</v>
      </c>
      <c r="D125" s="2"/>
      <c r="E125" s="11" t="s">
        <v>444</v>
      </c>
      <c r="F125" s="2"/>
      <c r="G125" s="11" t="s">
        <v>14</v>
      </c>
      <c r="H125" s="11" t="s">
        <v>445</v>
      </c>
      <c r="I125" s="10" t="s">
        <v>446</v>
      </c>
      <c r="J125" s="11" t="s">
        <v>447</v>
      </c>
      <c r="K125" s="11" t="s">
        <v>448</v>
      </c>
      <c r="L125" s="11" t="s">
        <v>366</v>
      </c>
      <c r="M125" s="12" t="str">
        <f>hyperlink("https://pkmncards.com/card/jynx-silver-tempest-sit-tg04/",image("https://i0.wp.com/pkmncards.com/wp-content/uploads/en_US-SWSH12-TG004-jynx.jpg?fit=734%2C1024&amp;ssl=1"))</f>
        <v/>
      </c>
      <c r="N125" s="9" t="str">
        <f>IMAGE("https://www.getcollectr.com/public-assets/products/product_10005570.png")</f>
        <v/>
      </c>
      <c r="O125" s="6"/>
      <c r="P125" s="13"/>
      <c r="Q125" s="17"/>
      <c r="R125" s="15"/>
      <c r="S125" s="15"/>
      <c r="T125" s="15"/>
      <c r="U125" s="15"/>
      <c r="V125" s="15"/>
      <c r="W125" s="15"/>
      <c r="X125" s="15"/>
      <c r="Y125" s="15"/>
      <c r="Z125" s="15"/>
      <c r="AA125" s="15"/>
      <c r="AB125" s="15"/>
      <c r="AC125" s="15"/>
      <c r="AD125" s="15"/>
    </row>
    <row r="126">
      <c r="A126" s="18"/>
      <c r="B126" s="18"/>
      <c r="C126" s="19" t="s">
        <v>449</v>
      </c>
      <c r="D126" s="2"/>
      <c r="E126" s="20" t="s">
        <v>450</v>
      </c>
      <c r="F126" s="17"/>
      <c r="G126" s="17"/>
      <c r="H126" s="17"/>
      <c r="I126" s="18"/>
      <c r="J126" s="17"/>
      <c r="K126" s="17"/>
      <c r="L126" s="17"/>
      <c r="M126" s="21"/>
      <c r="N126" s="21"/>
      <c r="O126" s="13"/>
      <c r="P126" s="13"/>
      <c r="Q126" s="17"/>
      <c r="R126" s="22"/>
      <c r="S126" s="22"/>
      <c r="T126" s="22"/>
      <c r="U126" s="22"/>
      <c r="V126" s="22"/>
      <c r="W126" s="22"/>
      <c r="X126" s="22"/>
      <c r="Y126" s="22"/>
      <c r="Z126" s="22"/>
      <c r="AA126" s="22"/>
      <c r="AB126" s="22"/>
      <c r="AC126" s="22"/>
      <c r="AD126" s="22"/>
    </row>
    <row r="127">
      <c r="A127" s="18"/>
      <c r="B127" s="18"/>
      <c r="C127" s="19" t="s">
        <v>451</v>
      </c>
      <c r="D127" s="2"/>
      <c r="E127" s="20" t="s">
        <v>452</v>
      </c>
      <c r="F127" s="17"/>
      <c r="G127" s="17"/>
      <c r="H127" s="17"/>
      <c r="I127" s="18"/>
      <c r="J127" s="17"/>
      <c r="K127" s="17"/>
      <c r="L127" s="17"/>
      <c r="M127" s="21"/>
      <c r="N127" s="21"/>
      <c r="O127" s="13"/>
      <c r="P127" s="13"/>
      <c r="Q127" s="17"/>
      <c r="R127" s="22"/>
      <c r="S127" s="22"/>
      <c r="T127" s="22"/>
      <c r="U127" s="22"/>
      <c r="V127" s="22"/>
      <c r="W127" s="22"/>
      <c r="X127" s="22"/>
      <c r="Y127" s="22"/>
      <c r="Z127" s="22"/>
      <c r="AA127" s="22"/>
      <c r="AB127" s="22"/>
      <c r="AC127" s="22"/>
      <c r="AD127" s="22"/>
    </row>
    <row r="128">
      <c r="A128" s="8" t="b">
        <v>0</v>
      </c>
      <c r="B128" s="9" t="b">
        <v>0</v>
      </c>
      <c r="C128" s="10" t="s">
        <v>453</v>
      </c>
      <c r="D128" s="2"/>
      <c r="E128" s="11" t="s">
        <v>454</v>
      </c>
      <c r="F128" s="17"/>
      <c r="G128" s="11" t="s">
        <v>14</v>
      </c>
      <c r="H128" s="11" t="s">
        <v>232</v>
      </c>
      <c r="I128" s="10" t="s">
        <v>455</v>
      </c>
      <c r="J128" s="11" t="s">
        <v>234</v>
      </c>
      <c r="K128" s="11" t="s">
        <v>456</v>
      </c>
      <c r="L128" s="11" t="s">
        <v>207</v>
      </c>
      <c r="M128" s="27" t="str">
        <f>hyperlink("https://pkmncards.com/card/pinsir-twilight-masquerade-twm-168/", image("https://pkmncards.com/wp-content/uploads/sv6_en_168_std.jpg"))</f>
        <v/>
      </c>
      <c r="N128" s="27" t="str">
        <f>hyperlink("https://www.serebii.net/card/crimsonhaze/067.shtml", image("https://www.serebii.net/card/crimsonhaze/67.jpg"))</f>
        <v/>
      </c>
      <c r="O128" s="6"/>
      <c r="P128" s="13"/>
      <c r="Q128" s="17"/>
      <c r="R128" s="15"/>
      <c r="S128" s="15"/>
      <c r="T128" s="15"/>
      <c r="U128" s="15"/>
      <c r="V128" s="15"/>
      <c r="W128" s="15"/>
      <c r="X128" s="15"/>
      <c r="Y128" s="15"/>
      <c r="Z128" s="15"/>
      <c r="AA128" s="15"/>
      <c r="AB128" s="15"/>
      <c r="AC128" s="15"/>
      <c r="AD128" s="15"/>
    </row>
    <row r="129">
      <c r="A129" s="9" t="b">
        <v>0</v>
      </c>
      <c r="B129" s="8" t="b">
        <v>0</v>
      </c>
      <c r="C129" s="10" t="s">
        <v>457</v>
      </c>
      <c r="D129" s="11" t="s">
        <v>458</v>
      </c>
      <c r="E129" s="11" t="s">
        <v>459</v>
      </c>
      <c r="F129" s="2"/>
      <c r="G129" s="11" t="s">
        <v>202</v>
      </c>
      <c r="H129" s="11" t="s">
        <v>110</v>
      </c>
      <c r="I129" s="10" t="s">
        <v>460</v>
      </c>
      <c r="J129" s="11" t="s">
        <v>461</v>
      </c>
      <c r="K129" s="11" t="s">
        <v>462</v>
      </c>
      <c r="L129" s="11" t="s">
        <v>463</v>
      </c>
      <c r="M129" s="12" t="str">
        <f>hyperlink("https://pkmncards.com/card/paldean-tauros-paldea-evolved-pal-218/",image("https://i0.wp.com/pkmncards.com/wp-content/uploads/sv2_en_218.jpg?fit=734%2C1024&amp;ssl=1"))</f>
        <v/>
      </c>
      <c r="N129" s="12" t="str">
        <f>hyperlink("https://www.serebii.net/card/tripletbeat/084.shtml", image("https://www.serebii.net/card/tripletbeat/84.jpg"))</f>
        <v/>
      </c>
      <c r="O129" s="13"/>
      <c r="P129" s="6"/>
      <c r="Q129" s="17"/>
      <c r="R129" s="15"/>
      <c r="S129" s="15"/>
      <c r="T129" s="15"/>
      <c r="U129" s="15"/>
      <c r="V129" s="15"/>
      <c r="W129" s="15"/>
      <c r="X129" s="15"/>
      <c r="Y129" s="15"/>
      <c r="Z129" s="15"/>
      <c r="AA129" s="15"/>
      <c r="AB129" s="15"/>
      <c r="AC129" s="15"/>
      <c r="AD129" s="15"/>
    </row>
    <row r="130">
      <c r="A130" s="9" t="b">
        <v>0</v>
      </c>
      <c r="B130" s="9" t="b">
        <v>0</v>
      </c>
      <c r="C130" s="10" t="s">
        <v>464</v>
      </c>
      <c r="D130" s="2"/>
      <c r="E130" s="11" t="s">
        <v>465</v>
      </c>
      <c r="F130" s="2"/>
      <c r="G130" s="11" t="s">
        <v>14</v>
      </c>
      <c r="H130" s="11" t="s">
        <v>110</v>
      </c>
      <c r="I130" s="10" t="s">
        <v>466</v>
      </c>
      <c r="J130" s="11" t="s">
        <v>461</v>
      </c>
      <c r="K130" s="11" t="s">
        <v>467</v>
      </c>
      <c r="L130" s="11" t="s">
        <v>319</v>
      </c>
      <c r="M130" s="12" t="str">
        <f>hyperlink("https://pkmncards.com/card/magikarp-paldea-evolved-pal-203/",image("https://i0.wp.com/pkmncards.com/wp-content/uploads/sv2_en_203.jpg?fit=734%2C1024&amp;ssl=1"))</f>
        <v/>
      </c>
      <c r="N130" s="12" t="str">
        <f>hyperlink("https://www.serebii.net/card/tripletbeat/080.shtml", image("https://www.serebii.net/card/tripletbeat/80.jpg"))</f>
        <v/>
      </c>
      <c r="O130" s="13"/>
      <c r="P130" s="13"/>
      <c r="Q130" s="17"/>
      <c r="R130" s="15"/>
      <c r="S130" s="15"/>
      <c r="T130" s="15"/>
      <c r="U130" s="15"/>
      <c r="V130" s="15"/>
      <c r="W130" s="15"/>
      <c r="X130" s="15"/>
      <c r="Y130" s="15"/>
      <c r="Z130" s="15"/>
      <c r="AA130" s="15"/>
      <c r="AB130" s="15"/>
      <c r="AC130" s="15"/>
      <c r="AD130" s="15"/>
    </row>
    <row r="131">
      <c r="A131" s="18"/>
      <c r="B131" s="18"/>
      <c r="C131" s="19" t="s">
        <v>468</v>
      </c>
      <c r="D131" s="2"/>
      <c r="E131" s="20" t="s">
        <v>469</v>
      </c>
      <c r="F131" s="17"/>
      <c r="G131" s="17"/>
      <c r="H131" s="17"/>
      <c r="I131" s="18"/>
      <c r="J131" s="17"/>
      <c r="K131" s="17"/>
      <c r="L131" s="17"/>
      <c r="M131" s="21"/>
      <c r="N131" s="21"/>
      <c r="O131" s="13"/>
      <c r="P131" s="13"/>
      <c r="Q131" s="17"/>
      <c r="R131" s="22"/>
      <c r="S131" s="22"/>
      <c r="T131" s="22"/>
      <c r="U131" s="22"/>
      <c r="V131" s="22"/>
      <c r="W131" s="22"/>
      <c r="X131" s="22"/>
      <c r="Y131" s="22"/>
      <c r="Z131" s="22"/>
      <c r="AA131" s="22"/>
      <c r="AB131" s="22"/>
      <c r="AC131" s="22"/>
      <c r="AD131" s="22"/>
    </row>
    <row r="132">
      <c r="A132" s="9" t="b">
        <v>0</v>
      </c>
      <c r="B132" s="9" t="b">
        <v>0</v>
      </c>
      <c r="C132" s="10" t="s">
        <v>470</v>
      </c>
      <c r="D132" s="11" t="s">
        <v>471</v>
      </c>
      <c r="E132" s="11" t="s">
        <v>472</v>
      </c>
      <c r="F132" s="2"/>
      <c r="G132" s="11" t="s">
        <v>14</v>
      </c>
      <c r="H132" s="11" t="s">
        <v>86</v>
      </c>
      <c r="I132" s="10" t="s">
        <v>473</v>
      </c>
      <c r="J132" s="11" t="s">
        <v>298</v>
      </c>
      <c r="K132" s="11" t="s">
        <v>474</v>
      </c>
      <c r="L132" s="11" t="s">
        <v>396</v>
      </c>
      <c r="M132" s="9" t="str">
        <f>image("https://public.getcollectr.com/public-assets/products/product_632994.jpg?optimizer=image&amp;format=webp&amp;width=1200&amp;quality=70&amp;strip=metadata")</f>
        <v/>
      </c>
      <c r="N132" s="9" t="str">
        <f>image("https://public.getcollectr.com/public-assets/products/product_10026884.png?optimizer=image&amp;format=webp&amp;width=800&amp;quality=85&amp;strip=metadata")</f>
        <v/>
      </c>
      <c r="O132" s="13"/>
      <c r="P132" s="13"/>
      <c r="Q132" s="17"/>
      <c r="R132" s="15"/>
      <c r="S132" s="15"/>
      <c r="T132" s="15"/>
      <c r="U132" s="15"/>
      <c r="V132" s="15"/>
      <c r="W132" s="15"/>
      <c r="X132" s="15"/>
      <c r="Y132" s="15"/>
      <c r="Z132" s="15"/>
      <c r="AA132" s="15"/>
      <c r="AB132" s="15"/>
      <c r="AC132" s="15"/>
      <c r="AD132" s="15"/>
    </row>
    <row r="133">
      <c r="A133" s="8" t="b">
        <v>0</v>
      </c>
      <c r="B133" s="9" t="b">
        <v>0</v>
      </c>
      <c r="C133" s="10" t="s">
        <v>475</v>
      </c>
      <c r="D133" s="2"/>
      <c r="E133" s="11" t="s">
        <v>476</v>
      </c>
      <c r="F133" s="2"/>
      <c r="G133" s="11" t="s">
        <v>14</v>
      </c>
      <c r="H133" s="11" t="s">
        <v>175</v>
      </c>
      <c r="I133" s="10" t="s">
        <v>477</v>
      </c>
      <c r="J133" s="11" t="s">
        <v>478</v>
      </c>
      <c r="K133" s="11" t="s">
        <v>479</v>
      </c>
      <c r="L133" s="11" t="s">
        <v>480</v>
      </c>
      <c r="M133" s="12" t="str">
        <f>hyperlink("https://pkmncards.com/card/ditto-crown-zenith-crz-gg22/",image("https://i0.wp.com/pkmncards.com/wp-content/uploads/en_US-CZ-GG022-ditto.jpg?fit=734%2C1024&amp;ssl=1"))</f>
        <v/>
      </c>
      <c r="N133" s="12" t="str">
        <f>hyperlink("https://www.serebii.net/card/vstaruniverse/197.shtml", image("https://www.serebii.net/card/vstaruniverse/197.jpg"))</f>
        <v/>
      </c>
      <c r="O133" s="6"/>
      <c r="P133" s="13"/>
      <c r="Q133" s="17"/>
      <c r="R133" s="15"/>
      <c r="S133" s="15"/>
      <c r="T133" s="15"/>
      <c r="U133" s="15"/>
      <c r="V133" s="15"/>
      <c r="W133" s="15"/>
      <c r="X133" s="15"/>
      <c r="Y133" s="15"/>
      <c r="Z133" s="15"/>
      <c r="AA133" s="15"/>
      <c r="AB133" s="15"/>
      <c r="AC133" s="15"/>
      <c r="AD133" s="15"/>
    </row>
    <row r="134">
      <c r="A134" s="8" t="b">
        <v>0</v>
      </c>
      <c r="B134" s="9" t="b">
        <v>0</v>
      </c>
      <c r="C134" s="10" t="s">
        <v>481</v>
      </c>
      <c r="D134" s="2"/>
      <c r="E134" s="11" t="s">
        <v>482</v>
      </c>
      <c r="F134" s="2"/>
      <c r="G134" s="11" t="s">
        <v>14</v>
      </c>
      <c r="H134" s="11" t="s">
        <v>153</v>
      </c>
      <c r="I134" s="10" t="s">
        <v>483</v>
      </c>
      <c r="J134" s="2"/>
      <c r="K134" s="2"/>
      <c r="L134" s="11" t="s">
        <v>484</v>
      </c>
      <c r="M134" s="9" t="str">
        <f>IMAGE("https://getcollectr-com.b-cdn.net/public-assets/products/product_610758.jpg?optimizer=image&amp;format=webp&amp;width=800&amp;quality=85&amp;strip=metadata")</f>
        <v/>
      </c>
      <c r="N134" s="9"/>
      <c r="O134" s="6"/>
      <c r="P134" s="13"/>
      <c r="Q134" s="17"/>
      <c r="R134" s="15"/>
      <c r="S134" s="15"/>
      <c r="T134" s="15"/>
      <c r="U134" s="15"/>
      <c r="V134" s="15"/>
      <c r="W134" s="15"/>
      <c r="X134" s="15"/>
      <c r="Y134" s="15"/>
      <c r="Z134" s="15"/>
      <c r="AA134" s="15"/>
      <c r="AB134" s="15"/>
      <c r="AC134" s="15"/>
      <c r="AD134" s="15"/>
    </row>
    <row r="135">
      <c r="A135" s="9" t="b">
        <v>0</v>
      </c>
      <c r="B135" s="9" t="b">
        <v>0</v>
      </c>
      <c r="C135" s="10" t="s">
        <v>485</v>
      </c>
      <c r="D135" s="2"/>
      <c r="E135" s="11" t="s">
        <v>486</v>
      </c>
      <c r="F135" s="11" t="s">
        <v>60</v>
      </c>
      <c r="G135" s="11" t="s">
        <v>14</v>
      </c>
      <c r="H135" s="11" t="s">
        <v>487</v>
      </c>
      <c r="I135" s="10" t="s">
        <v>488</v>
      </c>
      <c r="J135" s="11" t="s">
        <v>489</v>
      </c>
      <c r="K135" s="11" t="s">
        <v>490</v>
      </c>
      <c r="L135" s="11" t="s">
        <v>491</v>
      </c>
      <c r="M135" s="12" t="str">
        <f>hyperlink("https://pkmncards.com/card/vaporeon-v-sword-shield-promos-swsh181/",image("https://i0.wp.com/pkmncards.com/wp-content/uploads/en_US-Promo_SWSH-SWSH181-vaporeon_v.jpeg?fit=734%2C1024&amp;ssl=1"))</f>
        <v/>
      </c>
      <c r="N135" s="9" t="str">
        <f>IMAGE("https://archives.bulbagarden.net/media/upload/5/5f/VaporeonVSWSHPromo181.jpg")</f>
        <v/>
      </c>
      <c r="O135" s="13"/>
      <c r="P135" s="13"/>
      <c r="Q135" s="17"/>
      <c r="R135" s="15"/>
      <c r="S135" s="15"/>
      <c r="T135" s="15"/>
      <c r="U135" s="15"/>
      <c r="V135" s="15"/>
      <c r="W135" s="15"/>
      <c r="X135" s="15"/>
      <c r="Y135" s="15"/>
      <c r="Z135" s="15"/>
      <c r="AA135" s="15"/>
      <c r="AB135" s="15"/>
      <c r="AC135" s="15"/>
      <c r="AD135" s="15"/>
    </row>
    <row r="136">
      <c r="A136" s="8" t="b">
        <v>0</v>
      </c>
      <c r="B136" s="9" t="b">
        <v>0</v>
      </c>
      <c r="C136" s="10" t="s">
        <v>492</v>
      </c>
      <c r="D136" s="2"/>
      <c r="E136" s="11" t="s">
        <v>493</v>
      </c>
      <c r="F136" s="11" t="s">
        <v>60</v>
      </c>
      <c r="G136" s="11" t="s">
        <v>14</v>
      </c>
      <c r="H136" s="11" t="s">
        <v>487</v>
      </c>
      <c r="I136" s="10" t="s">
        <v>494</v>
      </c>
      <c r="J136" s="11" t="s">
        <v>489</v>
      </c>
      <c r="K136" s="11" t="s">
        <v>495</v>
      </c>
      <c r="L136" s="11" t="s">
        <v>496</v>
      </c>
      <c r="M136" s="12" t="str">
        <f>hyperlink("https://pkmncards.com/card/jolteon-v-sword-shield-promos-swsh183/",image("https://i0.wp.com/pkmncards.com/wp-content/uploads/en_US-Promo_SWSH-SWSH183-jolteon_v.jpeg?fit=734%2C1024&amp;ssl=1"))</f>
        <v/>
      </c>
      <c r="N136" s="9" t="str">
        <f>image("https://archives.bulbagarden.net/media/upload/4/48/JolteonVSWSHPromo183.jpg")</f>
        <v/>
      </c>
      <c r="O136" s="6"/>
      <c r="P136" s="13"/>
      <c r="Q136" s="17"/>
      <c r="R136" s="15"/>
      <c r="S136" s="15"/>
      <c r="T136" s="15"/>
      <c r="U136" s="15"/>
      <c r="V136" s="15"/>
      <c r="W136" s="15"/>
      <c r="X136" s="15"/>
      <c r="Y136" s="15"/>
      <c r="Z136" s="15"/>
      <c r="AA136" s="15"/>
      <c r="AB136" s="15"/>
      <c r="AC136" s="15"/>
      <c r="AD136" s="15"/>
    </row>
    <row r="137">
      <c r="A137" s="8" t="b">
        <v>0</v>
      </c>
      <c r="B137" s="9" t="b">
        <v>0</v>
      </c>
      <c r="C137" s="10" t="s">
        <v>497</v>
      </c>
      <c r="D137" s="2"/>
      <c r="E137" s="11" t="s">
        <v>498</v>
      </c>
      <c r="F137" s="11" t="s">
        <v>60</v>
      </c>
      <c r="G137" s="11" t="s">
        <v>14</v>
      </c>
      <c r="H137" s="11" t="s">
        <v>487</v>
      </c>
      <c r="I137" s="10" t="s">
        <v>499</v>
      </c>
      <c r="J137" s="11" t="s">
        <v>489</v>
      </c>
      <c r="K137" s="11" t="s">
        <v>500</v>
      </c>
      <c r="L137" s="11" t="s">
        <v>501</v>
      </c>
      <c r="M137" s="12" t="str">
        <f>hyperlink("https://pkmncards.com/card/flareon-v-sword-shield-promos-swsh179/",image("https://i0.wp.com/pkmncards.com/wp-content/uploads/en_US-Promo_SWSH-SWSH179-flareon_v.jpeg?fit=734%2C1024&amp;ssl=1"))</f>
        <v/>
      </c>
      <c r="N137" s="9" t="str">
        <f>image("https://archives.bulbagarden.net/media/upload/7/77/FlareonVSWSHPromo179.jpg")</f>
        <v/>
      </c>
      <c r="O137" s="6"/>
      <c r="P137" s="13"/>
      <c r="Q137" s="17"/>
      <c r="R137" s="15"/>
      <c r="S137" s="15"/>
      <c r="T137" s="15"/>
      <c r="U137" s="15"/>
      <c r="V137" s="15"/>
      <c r="W137" s="15"/>
      <c r="X137" s="15"/>
      <c r="Y137" s="15"/>
      <c r="Z137" s="15"/>
      <c r="AA137" s="15"/>
      <c r="AB137" s="15"/>
      <c r="AC137" s="15"/>
      <c r="AD137" s="15"/>
    </row>
    <row r="138">
      <c r="A138" s="18"/>
      <c r="B138" s="18"/>
      <c r="C138" s="19" t="s">
        <v>502</v>
      </c>
      <c r="D138" s="2"/>
      <c r="E138" s="20" t="s">
        <v>503</v>
      </c>
      <c r="F138" s="17"/>
      <c r="G138" s="17"/>
      <c r="H138" s="17"/>
      <c r="I138" s="18"/>
      <c r="J138" s="17"/>
      <c r="K138" s="17"/>
      <c r="L138" s="17"/>
      <c r="M138" s="21"/>
      <c r="N138" s="21"/>
      <c r="O138" s="13"/>
      <c r="P138" s="13"/>
      <c r="Q138" s="17"/>
      <c r="R138" s="22"/>
      <c r="S138" s="22"/>
      <c r="T138" s="22"/>
      <c r="U138" s="22"/>
      <c r="V138" s="22"/>
      <c r="W138" s="22"/>
      <c r="X138" s="22"/>
      <c r="Y138" s="22"/>
      <c r="Z138" s="22"/>
      <c r="AA138" s="22"/>
      <c r="AB138" s="22"/>
      <c r="AC138" s="22"/>
      <c r="AD138" s="22"/>
    </row>
    <row r="139">
      <c r="A139" s="8" t="b">
        <v>0</v>
      </c>
      <c r="B139" s="9" t="b">
        <v>0</v>
      </c>
      <c r="C139" s="10" t="s">
        <v>504</v>
      </c>
      <c r="D139" s="2"/>
      <c r="E139" s="11" t="s">
        <v>505</v>
      </c>
      <c r="F139" s="2"/>
      <c r="G139" s="11" t="s">
        <v>14</v>
      </c>
      <c r="H139" s="11" t="s">
        <v>15</v>
      </c>
      <c r="I139" s="10" t="s">
        <v>506</v>
      </c>
      <c r="J139" s="11" t="s">
        <v>17</v>
      </c>
      <c r="K139" s="10" t="s">
        <v>506</v>
      </c>
      <c r="L139" s="11" t="s">
        <v>507</v>
      </c>
      <c r="M139" s="12" t="str">
        <f>hyperlink("https://pkmncards.com/card/omanyte-151-mew-180/",image("https://i0.wp.com/pkmncards.com/wp-content/uploads/sv3-5_en_180_std.jpg?fit=733%2C1024&amp;ssl=1"))</f>
        <v/>
      </c>
      <c r="N139" s="12" t="str">
        <f>hyperlink("https://www.serebii.net/card/pokemoncard151/180.shtml",image("https://www.serebii.net/card/pokemoncard151/180.jpg"))</f>
        <v/>
      </c>
      <c r="O139" s="6"/>
      <c r="P139" s="13"/>
      <c r="Q139" s="17"/>
      <c r="R139" s="15"/>
      <c r="S139" s="15"/>
      <c r="T139" s="15"/>
      <c r="U139" s="15"/>
      <c r="V139" s="15"/>
      <c r="W139" s="15"/>
      <c r="X139" s="15"/>
      <c r="Y139" s="15"/>
      <c r="Z139" s="15"/>
      <c r="AA139" s="15"/>
      <c r="AB139" s="15"/>
      <c r="AC139" s="15"/>
      <c r="AD139" s="15"/>
    </row>
    <row r="140">
      <c r="A140" s="18"/>
      <c r="B140" s="18"/>
      <c r="C140" s="19" t="s">
        <v>508</v>
      </c>
      <c r="D140" s="2"/>
      <c r="E140" s="20" t="s">
        <v>509</v>
      </c>
      <c r="F140" s="17"/>
      <c r="G140" s="17"/>
      <c r="H140" s="17"/>
      <c r="I140" s="18"/>
      <c r="J140" s="17"/>
      <c r="K140" s="17"/>
      <c r="L140" s="17"/>
      <c r="M140" s="21"/>
      <c r="N140" s="21"/>
      <c r="O140" s="13"/>
      <c r="P140" s="13"/>
      <c r="Q140" s="17"/>
      <c r="R140" s="22"/>
      <c r="S140" s="22"/>
      <c r="T140" s="22"/>
      <c r="U140" s="22"/>
      <c r="V140" s="22"/>
      <c r="W140" s="22"/>
      <c r="X140" s="22"/>
      <c r="Y140" s="22"/>
      <c r="Z140" s="22"/>
      <c r="AA140" s="22"/>
      <c r="AB140" s="22"/>
      <c r="AC140" s="22"/>
      <c r="AD140" s="22"/>
    </row>
    <row r="141">
      <c r="A141" s="18"/>
      <c r="B141" s="18"/>
      <c r="C141" s="19" t="s">
        <v>510</v>
      </c>
      <c r="D141" s="2"/>
      <c r="E141" s="20" t="s">
        <v>511</v>
      </c>
      <c r="F141" s="17"/>
      <c r="G141" s="17"/>
      <c r="H141" s="17"/>
      <c r="I141" s="18"/>
      <c r="J141" s="17"/>
      <c r="K141" s="17"/>
      <c r="L141" s="17"/>
      <c r="M141" s="21"/>
      <c r="N141" s="21"/>
      <c r="O141" s="13"/>
      <c r="P141" s="13"/>
      <c r="Q141" s="17"/>
      <c r="R141" s="22"/>
      <c r="S141" s="22"/>
      <c r="T141" s="22"/>
      <c r="U141" s="22"/>
      <c r="V141" s="22"/>
      <c r="W141" s="22"/>
      <c r="X141" s="22"/>
      <c r="Y141" s="22"/>
      <c r="Z141" s="22"/>
      <c r="AA141" s="22"/>
      <c r="AB141" s="22"/>
      <c r="AC141" s="22"/>
      <c r="AD141" s="22"/>
    </row>
    <row r="142">
      <c r="A142" s="18"/>
      <c r="B142" s="18"/>
      <c r="C142" s="19" t="s">
        <v>512</v>
      </c>
      <c r="D142" s="2"/>
      <c r="E142" s="20" t="s">
        <v>513</v>
      </c>
      <c r="F142" s="17"/>
      <c r="G142" s="17"/>
      <c r="H142" s="17"/>
      <c r="I142" s="18"/>
      <c r="J142" s="17"/>
      <c r="K142" s="17"/>
      <c r="L142" s="17"/>
      <c r="M142" s="21"/>
      <c r="N142" s="21"/>
      <c r="O142" s="13"/>
      <c r="P142" s="13"/>
      <c r="Q142" s="17"/>
      <c r="R142" s="22"/>
      <c r="S142" s="22"/>
      <c r="T142" s="22"/>
      <c r="U142" s="22"/>
      <c r="V142" s="22"/>
      <c r="W142" s="22"/>
      <c r="X142" s="22"/>
      <c r="Y142" s="22"/>
      <c r="Z142" s="22"/>
      <c r="AA142" s="22"/>
      <c r="AB142" s="22"/>
      <c r="AC142" s="22"/>
      <c r="AD142" s="22"/>
    </row>
    <row r="143">
      <c r="A143" s="9" t="b">
        <v>0</v>
      </c>
      <c r="B143" s="9" t="b">
        <v>0</v>
      </c>
      <c r="C143" s="10" t="s">
        <v>514</v>
      </c>
      <c r="D143" s="2"/>
      <c r="E143" s="11" t="s">
        <v>515</v>
      </c>
      <c r="F143" s="11" t="s">
        <v>60</v>
      </c>
      <c r="G143" s="11" t="s">
        <v>14</v>
      </c>
      <c r="H143" s="11" t="s">
        <v>182</v>
      </c>
      <c r="I143" s="10" t="s">
        <v>516</v>
      </c>
      <c r="J143" s="11" t="s">
        <v>517</v>
      </c>
      <c r="K143" s="11" t="s">
        <v>518</v>
      </c>
      <c r="L143" s="11" t="s">
        <v>519</v>
      </c>
      <c r="M143" s="12" t="str">
        <f>hyperlink("https://pkmncards.com/card/aerodactyl-v-lost-origin-lor-180/",image("https://i0.wp.com/pkmncards.com/wp-content/uploads/en_US-SWSH11-180-aerodactyl_v.jpg?fit=734%2C1024&amp;ssl=1"))</f>
        <v/>
      </c>
      <c r="N143" s="9" t="str">
        <f>IMAGE("https://archives.bulbagarden.net/media/upload/2/21/AerodactylVLostOrigin180.jpg")</f>
        <v/>
      </c>
      <c r="O143" s="13"/>
      <c r="P143" s="13"/>
      <c r="Q143" s="17"/>
      <c r="R143" s="15"/>
      <c r="S143" s="15"/>
      <c r="T143" s="15"/>
      <c r="U143" s="15"/>
      <c r="V143" s="15"/>
      <c r="W143" s="15"/>
      <c r="X143" s="15"/>
      <c r="Y143" s="15"/>
      <c r="Z143" s="15"/>
      <c r="AA143" s="15"/>
      <c r="AB143" s="15"/>
      <c r="AC143" s="15"/>
      <c r="AD143" s="15"/>
    </row>
    <row r="144">
      <c r="A144" s="8" t="b">
        <v>0</v>
      </c>
      <c r="B144" s="9" t="b">
        <v>0</v>
      </c>
      <c r="C144" s="10" t="s">
        <v>520</v>
      </c>
      <c r="D144" s="2"/>
      <c r="E144" s="11" t="s">
        <v>521</v>
      </c>
      <c r="F144" s="2"/>
      <c r="G144" s="11" t="s">
        <v>14</v>
      </c>
      <c r="H144" s="11" t="s">
        <v>153</v>
      </c>
      <c r="I144" s="10" t="s">
        <v>522</v>
      </c>
      <c r="J144" s="11" t="s">
        <v>17</v>
      </c>
      <c r="K144" s="11" t="s">
        <v>523</v>
      </c>
      <c r="L144" s="11" t="s">
        <v>524</v>
      </c>
      <c r="M144" s="12" t="str">
        <f>hyperlink("https://pkmncards.com/card/snorlax-scarlet-violet-promos-svp-051/", image("https://i0.wp.com/pkmncards.com/wp-content/uploads/svbsp_en_051_std.jpg?fit=733%2C1024&amp;ssl=1"))</f>
        <v/>
      </c>
      <c r="N144" s="12" t="str">
        <f>hyperlink("https://www.serebii.net/card/pokemoncard151/181.shtml",image("https://www.serebii.net/card/pokemoncard151/181.jpg"))</f>
        <v/>
      </c>
      <c r="O144" s="6"/>
      <c r="P144" s="13"/>
      <c r="Q144" s="17"/>
      <c r="R144" s="15"/>
      <c r="S144" s="15"/>
      <c r="T144" s="15"/>
      <c r="U144" s="15"/>
      <c r="V144" s="15"/>
      <c r="W144" s="15"/>
      <c r="X144" s="15"/>
      <c r="Y144" s="15"/>
      <c r="Z144" s="15"/>
      <c r="AA144" s="15"/>
      <c r="AB144" s="15"/>
      <c r="AC144" s="15"/>
      <c r="AD144" s="15"/>
    </row>
    <row r="145">
      <c r="A145" s="9" t="b">
        <v>0</v>
      </c>
      <c r="B145" s="8" t="b">
        <v>0</v>
      </c>
      <c r="C145" s="10" t="s">
        <v>525</v>
      </c>
      <c r="D145" s="2"/>
      <c r="E145" s="11" t="s">
        <v>526</v>
      </c>
      <c r="F145" s="2"/>
      <c r="G145" s="11" t="s">
        <v>14</v>
      </c>
      <c r="H145" s="11" t="s">
        <v>136</v>
      </c>
      <c r="I145" s="10" t="s">
        <v>527</v>
      </c>
      <c r="J145" s="11" t="s">
        <v>138</v>
      </c>
      <c r="K145" s="11" t="s">
        <v>528</v>
      </c>
      <c r="L145" s="11" t="s">
        <v>529</v>
      </c>
      <c r="M145" s="29" t="str">
        <f>image("https://public.getcollectr.com/public-assets/products/product_623588.jpg?optimizer=image&amp;format=webp&amp;width=800&amp;quality=85&amp;strip=metadata")</f>
        <v/>
      </c>
      <c r="N145" s="21" t="str">
        <f>image("https://getcollectr-com.b-cdn.net/public-assets/products/product_10024572.png?optimizer=image&amp;format=webp&amp;width=800&amp;quality=85&amp;strip=metadata")</f>
        <v/>
      </c>
      <c r="O145" s="13"/>
      <c r="P145" s="6"/>
      <c r="Q145" s="17"/>
      <c r="R145" s="15"/>
      <c r="S145" s="15"/>
      <c r="T145" s="15"/>
      <c r="U145" s="15"/>
      <c r="V145" s="15"/>
      <c r="W145" s="15"/>
      <c r="X145" s="15"/>
      <c r="Y145" s="15"/>
      <c r="Z145" s="15"/>
      <c r="AA145" s="15"/>
      <c r="AB145" s="15"/>
      <c r="AC145" s="15"/>
      <c r="AD145" s="15"/>
    </row>
    <row r="146">
      <c r="A146" s="8" t="b">
        <v>0</v>
      </c>
      <c r="B146" s="9" t="b">
        <v>0</v>
      </c>
      <c r="C146" s="10" t="s">
        <v>530</v>
      </c>
      <c r="D146" s="2"/>
      <c r="E146" s="11" t="s">
        <v>531</v>
      </c>
      <c r="F146" s="2"/>
      <c r="G146" s="11" t="s">
        <v>14</v>
      </c>
      <c r="H146" s="11" t="s">
        <v>15</v>
      </c>
      <c r="I146" s="10" t="s">
        <v>532</v>
      </c>
      <c r="J146" s="11" t="s">
        <v>17</v>
      </c>
      <c r="K146" s="11" t="s">
        <v>533</v>
      </c>
      <c r="L146" s="11" t="s">
        <v>534</v>
      </c>
      <c r="M146" s="12" t="str">
        <f>hyperlink("https://pkmncards.com/card/zapdos-ex-151-mew-202/",image("https://i0.wp.com/pkmncards.com/wp-content/uploads/sv3-5_en_202_std.jpg?fit=733%2C1024&amp;ssl=1"))</f>
        <v/>
      </c>
      <c r="N146" s="12" t="str">
        <f>hyperlink("https://www.serebii.net/card/pokemoncard151/204.shtml",image("https://www.serebii.net/card/pokemoncard151/204.jpg"))</f>
        <v/>
      </c>
      <c r="O146" s="6"/>
      <c r="P146" s="13"/>
      <c r="Q146" s="17"/>
      <c r="R146" s="15"/>
      <c r="S146" s="15"/>
      <c r="T146" s="15"/>
      <c r="U146" s="15"/>
      <c r="V146" s="15"/>
      <c r="W146" s="15"/>
      <c r="X146" s="15"/>
      <c r="Y146" s="15"/>
      <c r="Z146" s="15"/>
      <c r="AA146" s="15"/>
      <c r="AB146" s="15"/>
      <c r="AC146" s="15"/>
      <c r="AD146" s="15"/>
    </row>
    <row r="147">
      <c r="A147" s="9" t="b">
        <v>0</v>
      </c>
      <c r="B147" s="9" t="b">
        <v>0</v>
      </c>
      <c r="C147" s="10" t="s">
        <v>535</v>
      </c>
      <c r="D147" s="11" t="s">
        <v>84</v>
      </c>
      <c r="E147" s="11" t="s">
        <v>536</v>
      </c>
      <c r="F147" s="17"/>
      <c r="G147" s="11" t="s">
        <v>14</v>
      </c>
      <c r="H147" s="11" t="s">
        <v>86</v>
      </c>
      <c r="I147" s="10" t="s">
        <v>537</v>
      </c>
      <c r="J147" s="11" t="s">
        <v>88</v>
      </c>
      <c r="K147" s="11" t="s">
        <v>538</v>
      </c>
      <c r="L147" s="11" t="s">
        <v>539</v>
      </c>
      <c r="M147" s="9" t="str">
        <f>image("https://public.getcollectr.com/public-assets/products/product_633029.jpg?optimizer=image&amp;format=webp&amp;width=1200&amp;quality=70&amp;strip=metadata")</f>
        <v/>
      </c>
      <c r="N147" s="9" t="str">
        <f>image("https://public.getcollectr.com/public-assets/products/product_10028019.jpg?optimizer=image&amp;format=webp&amp;width=800&amp;quality=85&amp;strip=metadata")</f>
        <v/>
      </c>
      <c r="O147" s="13"/>
      <c r="P147" s="13"/>
      <c r="Q147" s="17"/>
      <c r="R147" s="15"/>
      <c r="S147" s="15"/>
      <c r="T147" s="15"/>
      <c r="U147" s="15"/>
      <c r="V147" s="15"/>
      <c r="W147" s="15"/>
      <c r="X147" s="15"/>
      <c r="Y147" s="15"/>
      <c r="Z147" s="15"/>
      <c r="AA147" s="15"/>
      <c r="AB147" s="15"/>
      <c r="AC147" s="15"/>
      <c r="AD147" s="15"/>
    </row>
    <row r="148">
      <c r="A148" s="18"/>
      <c r="B148" s="18"/>
      <c r="C148" s="19" t="s">
        <v>540</v>
      </c>
      <c r="D148" s="2"/>
      <c r="E148" s="20" t="s">
        <v>541</v>
      </c>
      <c r="F148" s="17"/>
      <c r="G148" s="17"/>
      <c r="H148" s="17"/>
      <c r="I148" s="18"/>
      <c r="J148" s="17"/>
      <c r="K148" s="17"/>
      <c r="L148" s="17"/>
      <c r="M148" s="21"/>
      <c r="N148" s="21"/>
      <c r="O148" s="13"/>
      <c r="P148" s="13"/>
      <c r="Q148" s="17"/>
      <c r="R148" s="22"/>
      <c r="S148" s="22"/>
      <c r="T148" s="22"/>
      <c r="U148" s="22"/>
      <c r="V148" s="22"/>
      <c r="W148" s="22"/>
      <c r="X148" s="22"/>
      <c r="Y148" s="22"/>
      <c r="Z148" s="22"/>
      <c r="AA148" s="22"/>
      <c r="AB148" s="22"/>
      <c r="AC148" s="22"/>
      <c r="AD148" s="22"/>
    </row>
    <row r="149">
      <c r="A149" s="8" t="b">
        <v>0</v>
      </c>
      <c r="B149" s="9" t="b">
        <v>0</v>
      </c>
      <c r="C149" s="10" t="s">
        <v>542</v>
      </c>
      <c r="D149" s="2"/>
      <c r="E149" s="11" t="s">
        <v>543</v>
      </c>
      <c r="F149" s="2"/>
      <c r="G149" s="11" t="s">
        <v>14</v>
      </c>
      <c r="H149" s="11" t="s">
        <v>15</v>
      </c>
      <c r="I149" s="10" t="s">
        <v>523</v>
      </c>
      <c r="J149" s="11" t="s">
        <v>17</v>
      </c>
      <c r="K149" s="10" t="s">
        <v>25</v>
      </c>
      <c r="L149" s="11" t="s">
        <v>544</v>
      </c>
      <c r="M149" s="12" t="str">
        <f>hyperlink("https://pkmncards.com/card/dragonair-151-mew-181/",image("https://i0.wp.com/pkmncards.com/wp-content/uploads/sv3-5_en_181_std.jpg?fit=733%2C1024&amp;ssl=1"))</f>
        <v/>
      </c>
      <c r="N149" s="9" t="str">
        <f>image("https://getcollectr-com.b-cdn.net/public-assets/products/product_10012105.png?optimizer=image&amp;format=webp&amp;width=800&amp;quality=85&amp;strip=metadata")</f>
        <v/>
      </c>
      <c r="O149" s="6"/>
      <c r="P149" s="13"/>
      <c r="Q149" s="17"/>
      <c r="R149" s="15"/>
      <c r="S149" s="15"/>
      <c r="T149" s="15"/>
      <c r="U149" s="15"/>
      <c r="V149" s="15"/>
      <c r="W149" s="15"/>
      <c r="X149" s="15"/>
      <c r="Y149" s="15"/>
      <c r="Z149" s="15"/>
      <c r="AA149" s="15"/>
      <c r="AB149" s="15"/>
      <c r="AC149" s="15"/>
      <c r="AD149" s="15"/>
    </row>
    <row r="150">
      <c r="A150" s="9" t="b">
        <v>0</v>
      </c>
      <c r="B150" s="9" t="b">
        <v>0</v>
      </c>
      <c r="C150" s="10" t="s">
        <v>545</v>
      </c>
      <c r="D150" s="2"/>
      <c r="E150" s="11" t="s">
        <v>546</v>
      </c>
      <c r="F150" s="11" t="s">
        <v>60</v>
      </c>
      <c r="G150" s="11" t="s">
        <v>14</v>
      </c>
      <c r="H150" s="11" t="s">
        <v>547</v>
      </c>
      <c r="I150" s="10" t="s">
        <v>548</v>
      </c>
      <c r="J150" s="11" t="s">
        <v>549</v>
      </c>
      <c r="K150" s="11" t="s">
        <v>550</v>
      </c>
      <c r="L150" s="11" t="s">
        <v>551</v>
      </c>
      <c r="M150" s="12" t="str">
        <f>hyperlink("https://pkmncards.com/card/dragonite-v-evolving-skies-evs-192/",image("https://i0.wp.com/pkmncards.com/wp-content/uploads/en_US-SWSH7-192-dragonite_v.jpg?fit=734%2C1024&amp;ssl=1"))</f>
        <v/>
      </c>
      <c r="N150" s="9" t="str">
        <f>image("https://archives.bulbagarden.net/media/upload/6/62/DragoniteVEvolvingSkies192.jpg")</f>
        <v/>
      </c>
      <c r="O150" s="13"/>
      <c r="P150" s="13"/>
      <c r="Q150" s="17"/>
      <c r="R150" s="15"/>
      <c r="S150" s="15"/>
      <c r="T150" s="15"/>
      <c r="U150" s="15"/>
      <c r="V150" s="15"/>
      <c r="W150" s="15"/>
      <c r="X150" s="15"/>
      <c r="Y150" s="15"/>
      <c r="Z150" s="15"/>
      <c r="AA150" s="15"/>
      <c r="AB150" s="15"/>
      <c r="AC150" s="15"/>
      <c r="AD150" s="15"/>
    </row>
    <row r="151">
      <c r="A151" s="8" t="b">
        <v>0</v>
      </c>
      <c r="B151" s="9" t="b">
        <v>0</v>
      </c>
      <c r="C151" s="10" t="s">
        <v>552</v>
      </c>
      <c r="D151" s="2"/>
      <c r="E151" s="11" t="s">
        <v>553</v>
      </c>
      <c r="F151" s="2"/>
      <c r="G151" s="11" t="s">
        <v>14</v>
      </c>
      <c r="H151" s="11" t="s">
        <v>153</v>
      </c>
      <c r="I151" s="10" t="s">
        <v>554</v>
      </c>
      <c r="J151" s="11" t="s">
        <v>17</v>
      </c>
      <c r="K151" s="10" t="s">
        <v>555</v>
      </c>
      <c r="L151" s="11" t="s">
        <v>556</v>
      </c>
      <c r="M151" s="30" t="str">
        <f>hyperlink("https://pkmncards.com/card/mewtwo-scarlet-violet-promos-svp-052/",image("https://i0.wp.com/pkmncards.com/wp-content/uploads/svbsp_en_052_std.jpg?fit=733%2C1024&amp;ssl=1"))</f>
        <v/>
      </c>
      <c r="N151" s="9" t="str">
        <f>image("https://getcollectr-com.b-cdn.net/public-assets/products/product_10012106.jpg?optimizer=image&amp;format=webp&amp;width=800&amp;quality=85&amp;strip=metadata")</f>
        <v/>
      </c>
      <c r="O151" s="6"/>
      <c r="P151" s="13"/>
      <c r="Q151" s="17"/>
      <c r="R151" s="15"/>
      <c r="S151" s="15"/>
      <c r="T151" s="15"/>
      <c r="U151" s="15"/>
      <c r="V151" s="15"/>
      <c r="W151" s="15"/>
      <c r="X151" s="15"/>
      <c r="Y151" s="15"/>
      <c r="Z151" s="15"/>
      <c r="AA151" s="15"/>
      <c r="AB151" s="15"/>
      <c r="AC151" s="15"/>
      <c r="AD151" s="15"/>
    </row>
    <row r="152">
      <c r="A152" s="8" t="b">
        <v>0</v>
      </c>
      <c r="B152" s="8" t="b">
        <v>0</v>
      </c>
      <c r="C152" s="10" t="s">
        <v>557</v>
      </c>
      <c r="D152" s="2"/>
      <c r="E152" s="11" t="s">
        <v>558</v>
      </c>
      <c r="F152" s="11" t="s">
        <v>24</v>
      </c>
      <c r="G152" s="11" t="s">
        <v>14</v>
      </c>
      <c r="H152" s="11" t="s">
        <v>153</v>
      </c>
      <c r="I152" s="10" t="s">
        <v>559</v>
      </c>
      <c r="J152" s="11" t="s">
        <v>17</v>
      </c>
      <c r="K152" s="11" t="s">
        <v>560</v>
      </c>
      <c r="L152" s="11" t="s">
        <v>561</v>
      </c>
      <c r="M152" s="12" t="str">
        <f>hyperlink("https://pkmncards.com/card/mew-ex-scarlet-violet-promos-svp-053/",image("https://i0.wp.com/pkmncards.com/wp-content/uploads/svbsp_en_053_std.jpg?fit=733%2C1024&amp;ssl=1"))</f>
        <v/>
      </c>
      <c r="N152" s="12" t="str">
        <f>hyperlink("https://www.serebii.net/card/pokemoncard151/205.shtml",image("https://www.serebii.net/card/pokemoncard151/205.jpg"))</f>
        <v/>
      </c>
      <c r="O152" s="6"/>
      <c r="P152" s="13"/>
      <c r="Q152" s="17"/>
      <c r="R152" s="15"/>
      <c r="S152" s="15"/>
      <c r="T152" s="15"/>
      <c r="U152" s="15"/>
      <c r="V152" s="15"/>
      <c r="W152" s="15"/>
      <c r="X152" s="15"/>
      <c r="Y152" s="15"/>
      <c r="Z152" s="15"/>
      <c r="AA152" s="15"/>
      <c r="AB152" s="15"/>
      <c r="AC152" s="15"/>
      <c r="AD152" s="15"/>
    </row>
    <row r="153">
      <c r="A153" s="31"/>
      <c r="B153" s="31"/>
      <c r="C153" s="31"/>
      <c r="D153" s="32"/>
      <c r="E153" s="32"/>
      <c r="F153" s="32"/>
      <c r="G153" s="32"/>
      <c r="H153" s="32"/>
      <c r="I153" s="31"/>
      <c r="J153" s="32"/>
      <c r="K153" s="32"/>
      <c r="L153" s="32"/>
      <c r="M153" s="33"/>
      <c r="N153" s="33"/>
      <c r="O153" s="34">
        <f t="shared" ref="O153:P153" si="1">SUM(O3:O152)</f>
        <v>0</v>
      </c>
      <c r="P153" s="34">
        <f t="shared" si="1"/>
        <v>0</v>
      </c>
      <c r="Q153" s="32"/>
      <c r="R153" s="35"/>
      <c r="S153" s="35"/>
      <c r="T153" s="35"/>
      <c r="U153" s="35"/>
      <c r="V153" s="35"/>
      <c r="W153" s="35"/>
      <c r="X153" s="35"/>
      <c r="Y153" s="35"/>
      <c r="Z153" s="35"/>
      <c r="AA153" s="35"/>
      <c r="AB153" s="35"/>
      <c r="AC153" s="35"/>
      <c r="AD153" s="35"/>
    </row>
    <row r="154">
      <c r="A154" s="36">
        <f>COUNTIF(A2:A152, TRUE)+COUNTIF(A2:A152, FALSE)</f>
        <v>77</v>
      </c>
      <c r="D154" s="17"/>
      <c r="E154" s="2" t="s">
        <v>562</v>
      </c>
      <c r="F154" s="17"/>
      <c r="G154" s="17"/>
      <c r="H154" s="17"/>
      <c r="I154" s="18"/>
      <c r="J154" s="17"/>
      <c r="K154" s="17"/>
      <c r="L154" s="17"/>
      <c r="M154" s="21"/>
      <c r="N154" s="21"/>
      <c r="O154" s="13"/>
      <c r="P154" s="13"/>
      <c r="Q154" s="17"/>
      <c r="R154" s="37"/>
      <c r="S154" s="37"/>
      <c r="T154" s="37"/>
      <c r="U154" s="37"/>
      <c r="V154" s="37"/>
      <c r="W154" s="37"/>
      <c r="X154" s="37"/>
      <c r="Y154" s="37"/>
      <c r="Z154" s="37"/>
      <c r="AA154" s="37"/>
      <c r="AB154" s="37"/>
      <c r="AC154" s="37"/>
      <c r="AD154" s="37"/>
    </row>
    <row r="155">
      <c r="A155" s="36">
        <f>COUNTIF(A1:A152, TRUE)</f>
        <v>10</v>
      </c>
      <c r="D155" s="17"/>
      <c r="E155" s="2" t="s">
        <v>563</v>
      </c>
      <c r="F155" s="38">
        <f>A155/A154</f>
        <v>0.1298701299</v>
      </c>
      <c r="G155" s="17" t="str">
        <f>IFERROR(__xludf.DUMMYFUNCTION("SPARKLINE(F155, {""charttype"",""bar""; ""max"", 1;""color1"",""gray""})"),"")</f>
        <v/>
      </c>
      <c r="H155" s="17"/>
      <c r="I155" s="18"/>
      <c r="J155" s="17"/>
      <c r="K155" s="17"/>
      <c r="L155" s="17"/>
      <c r="M155" s="21"/>
      <c r="N155" s="21"/>
      <c r="O155" s="13"/>
      <c r="P155" s="13"/>
      <c r="Q155" s="17"/>
      <c r="R155" s="37"/>
      <c r="S155" s="37"/>
      <c r="T155" s="37"/>
      <c r="U155" s="37"/>
      <c r="V155" s="37"/>
      <c r="W155" s="37"/>
      <c r="X155" s="37"/>
      <c r="Y155" s="37"/>
      <c r="Z155" s="37"/>
      <c r="AA155" s="37"/>
      <c r="AB155" s="37"/>
      <c r="AC155" s="37"/>
      <c r="AD155" s="37"/>
    </row>
    <row r="156">
      <c r="A156" s="36">
        <f>COUNTIF(B2:B152, TRUE)</f>
        <v>0</v>
      </c>
      <c r="D156" s="17"/>
      <c r="E156" s="2" t="s">
        <v>564</v>
      </c>
      <c r="F156" s="38">
        <f>A156/A154</f>
        <v>0</v>
      </c>
      <c r="G156" s="17" t="str">
        <f>IFERROR(__xludf.DUMMYFUNCTION("SPARKLINE(F156, {""charttype"",""bar""; ""max"", 1;""color1"",""gray""})"),"")</f>
        <v/>
      </c>
      <c r="H156" s="14"/>
      <c r="I156" s="18"/>
      <c r="J156" s="14"/>
      <c r="K156" s="14"/>
      <c r="L156" s="17"/>
      <c r="M156" s="21"/>
      <c r="N156" s="21"/>
      <c r="O156" s="13"/>
      <c r="P156" s="13"/>
      <c r="Q156" s="17"/>
      <c r="R156" s="37"/>
      <c r="S156" s="37"/>
      <c r="T156" s="37"/>
      <c r="U156" s="37"/>
      <c r="V156" s="37"/>
      <c r="W156" s="37"/>
      <c r="X156" s="37"/>
      <c r="Y156" s="37"/>
      <c r="Z156" s="37"/>
      <c r="AA156" s="37"/>
      <c r="AB156" s="37"/>
      <c r="AC156" s="37"/>
      <c r="AD156" s="37"/>
    </row>
    <row r="157">
      <c r="A157" s="39">
        <f t="array" ref="A157">SUM(COUNTIF(A2:B152,TRUE))-COUNTIFS(A2:A152,TRUE,B2:B152,TRUE)</f>
        <v>10</v>
      </c>
      <c r="D157" s="17"/>
      <c r="E157" s="11" t="s">
        <v>565</v>
      </c>
      <c r="F157" s="38">
        <f>A157/A154</f>
        <v>0.1298701299</v>
      </c>
      <c r="G157" s="17" t="str">
        <f>IFERROR(__xludf.DUMMYFUNCTION("SPARKLINE(F157, {""charttype"",""bar""; ""max"", 1;""color1"",""gray""})"),"")</f>
        <v/>
      </c>
      <c r="H157" s="14"/>
      <c r="I157" s="18"/>
      <c r="J157" s="14"/>
      <c r="K157" s="14"/>
      <c r="L157" s="17"/>
      <c r="M157" s="21"/>
      <c r="N157" s="21"/>
      <c r="O157" s="13"/>
      <c r="P157" s="13"/>
      <c r="Q157" s="17"/>
      <c r="R157" s="37"/>
      <c r="S157" s="37"/>
      <c r="T157" s="37"/>
      <c r="U157" s="37"/>
      <c r="V157" s="37"/>
      <c r="W157" s="37"/>
      <c r="X157" s="37"/>
      <c r="Y157" s="37"/>
      <c r="Z157" s="37"/>
      <c r="AA157" s="37"/>
      <c r="AB157" s="37"/>
      <c r="AC157" s="37"/>
      <c r="AD157" s="37"/>
    </row>
    <row r="158">
      <c r="D158" s="40"/>
      <c r="E158" s="41"/>
      <c r="F158" s="42"/>
      <c r="G158" s="37"/>
      <c r="I158" s="43"/>
      <c r="L158" s="37"/>
      <c r="M158" s="44"/>
      <c r="N158" s="44"/>
      <c r="O158" s="45"/>
      <c r="P158" s="45"/>
      <c r="Q158" s="37"/>
      <c r="R158" s="37"/>
      <c r="S158" s="37"/>
      <c r="T158" s="37"/>
      <c r="U158" s="37"/>
      <c r="V158" s="37"/>
      <c r="W158" s="37"/>
      <c r="X158" s="37"/>
      <c r="Y158" s="37"/>
      <c r="Z158" s="37"/>
      <c r="AA158" s="37"/>
      <c r="AB158" s="37"/>
      <c r="AC158" s="37"/>
      <c r="AD158" s="37"/>
    </row>
    <row r="159">
      <c r="D159" s="40"/>
      <c r="E159" s="41"/>
      <c r="F159" s="42"/>
      <c r="G159" s="37"/>
      <c r="I159" s="43"/>
      <c r="L159" s="37"/>
      <c r="M159" s="44"/>
      <c r="N159" s="44"/>
      <c r="O159" s="45"/>
      <c r="P159" s="45"/>
      <c r="Q159" s="37"/>
      <c r="R159" s="37"/>
      <c r="S159" s="37"/>
      <c r="T159" s="37"/>
      <c r="U159" s="37"/>
      <c r="V159" s="37"/>
      <c r="W159" s="37"/>
      <c r="X159" s="37"/>
      <c r="Y159" s="37"/>
      <c r="Z159" s="37"/>
      <c r="AA159" s="37"/>
      <c r="AB159" s="37"/>
      <c r="AC159" s="37"/>
      <c r="AD159" s="37"/>
    </row>
  </sheetData>
  <mergeCells count="5">
    <mergeCell ref="M1:N1"/>
    <mergeCell ref="A154:C154"/>
    <mergeCell ref="A155:C155"/>
    <mergeCell ref="A156:C156"/>
    <mergeCell ref="A157:C157"/>
  </mergeCells>
  <dataValidations>
    <dataValidation type="list" allowBlank="1" showErrorMessage="1" sqref="G2:G11 G16:G19 G21 G25:G27 G35:G40 G45 G47:G48 G51:G55 G59:G60 G62 G66 G68:G69 G73:G74 G79:G80 G82:G83 G93 G95 G97 G101 G103:G104 G109:G111 G114:G117 G122:G123 G125 G128:G130 G132:G137 G139 G143:G147 G149:G152">
      <formula1>"N/A,Regional,Convergent,Paradox,VMAX"</formula1>
    </dataValidation>
  </dataValidation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.63"/>
    <col customWidth="1" min="2" max="4" width="13.5"/>
    <col customWidth="1" min="5" max="5" width="2.63"/>
    <col customWidth="1" min="6" max="8" width="13.5"/>
    <col customWidth="1" min="9" max="9" width="2.63"/>
    <col customWidth="1" min="10" max="12" width="13.5"/>
    <col customWidth="1" min="13" max="13" width="2.63"/>
    <col customWidth="1" min="14" max="16" width="13.5"/>
    <col customWidth="1" min="17" max="17" width="2.63"/>
    <col customWidth="1" min="18" max="20" width="13.5"/>
    <col customWidth="1" min="21" max="21" width="2.63"/>
    <col customWidth="1" min="22" max="24" width="13.5"/>
    <col customWidth="1" min="25" max="25" width="2.63"/>
    <col customWidth="1" min="26" max="28" width="13.5"/>
    <col customWidth="1" min="29" max="29" width="2.63"/>
    <col customWidth="1" min="30" max="32" width="13.5"/>
    <col customWidth="1" min="33" max="33" width="2.63"/>
    <col customWidth="1" min="34" max="36" width="13.5"/>
    <col customWidth="1" min="37" max="37" width="2.63"/>
    <col customWidth="1" min="38" max="40" width="13.5"/>
    <col customWidth="1" min="41" max="41" width="2.63"/>
    <col customWidth="1" min="42" max="44" width="13.5"/>
    <col customWidth="1" min="45" max="45" width="2.63"/>
    <col customWidth="1" min="46" max="48" width="13.5"/>
    <col customWidth="1" min="49" max="49" width="2.63"/>
    <col customWidth="1" min="50" max="52" width="13.5"/>
    <col customWidth="1" min="53" max="53" width="2.63"/>
    <col customWidth="1" min="54" max="56" width="13.5"/>
    <col customWidth="1" min="57" max="57" width="2.63"/>
    <col customWidth="1" min="58" max="60" width="13.5"/>
    <col customWidth="1" min="61" max="61" width="2.63"/>
    <col customWidth="1" min="62" max="64" width="13.5"/>
    <col customWidth="1" min="65" max="65" width="2.63"/>
    <col customWidth="1" min="66" max="68" width="13.5"/>
    <col customWidth="1" min="69" max="74" width="2.63"/>
  </cols>
  <sheetData>
    <row r="1" ht="15.0" customHeight="1">
      <c r="A1" s="46"/>
      <c r="B1" s="47" t="s">
        <v>566</v>
      </c>
      <c r="E1" s="48"/>
      <c r="F1" s="47" t="s">
        <v>567</v>
      </c>
      <c r="I1" s="47"/>
      <c r="J1" s="47" t="s">
        <v>568</v>
      </c>
      <c r="M1" s="48"/>
      <c r="N1" s="47" t="s">
        <v>569</v>
      </c>
      <c r="Q1" s="48"/>
      <c r="R1" s="47" t="s">
        <v>570</v>
      </c>
      <c r="U1" s="48"/>
      <c r="V1" s="47" t="s">
        <v>571</v>
      </c>
      <c r="Y1" s="48"/>
      <c r="Z1" s="47" t="s">
        <v>572</v>
      </c>
      <c r="AC1" s="48"/>
      <c r="AD1" s="47" t="s">
        <v>573</v>
      </c>
      <c r="AG1" s="47"/>
      <c r="AH1" s="47" t="s">
        <v>574</v>
      </c>
      <c r="AK1" s="47"/>
      <c r="AL1" s="47" t="s">
        <v>575</v>
      </c>
      <c r="AO1" s="47"/>
      <c r="AP1" s="47" t="s">
        <v>576</v>
      </c>
      <c r="AS1" s="47"/>
      <c r="AT1" s="47" t="s">
        <v>577</v>
      </c>
      <c r="AW1" s="47"/>
      <c r="AX1" s="47" t="s">
        <v>578</v>
      </c>
      <c r="BA1" s="47"/>
      <c r="BB1" s="47" t="s">
        <v>579</v>
      </c>
      <c r="BE1" s="47"/>
      <c r="BF1" s="47" t="s">
        <v>580</v>
      </c>
      <c r="BI1" s="47"/>
      <c r="BJ1" s="47" t="s">
        <v>581</v>
      </c>
      <c r="BM1" s="47"/>
      <c r="BN1" s="47" t="s">
        <v>582</v>
      </c>
      <c r="BQ1" s="47"/>
      <c r="BR1" s="48"/>
      <c r="BS1" s="48"/>
      <c r="BT1" s="48"/>
      <c r="BU1" s="48"/>
      <c r="BV1" s="48"/>
    </row>
    <row r="2" ht="112.5" customHeight="1">
      <c r="A2" s="46"/>
      <c r="B2" s="49" t="str">
        <f>IF(bulbasaur=true, image001, if(bulbasaurjp=true, image001jp, IF(bulbasaur=false, "", "")))</f>
        <v/>
      </c>
      <c r="C2" s="49" t="str">
        <f>IF(ivysaur=true, image002, if(ivysaurjp=true, image002jp, IF(ivysaur=false, "", "")))</f>
        <v/>
      </c>
      <c r="D2" s="49" t="str">
        <f>IF(venusaur=true, image003, if(venusaurjp=true, image003jp, IF(venusaur=false, "", "")))</f>
        <v/>
      </c>
      <c r="E2" s="48"/>
      <c r="F2" s="49" t="str">
        <f>IF(caterpie=true, image010, if(caterpiejp=true, image010jp, IF(caterpie=false, "", "")))</f>
        <v/>
      </c>
      <c r="G2" s="50" t="str">
        <f>IF(metapod=true, image011, if(metapodjp=true, image011jp, IF(metapod=false, "", "")))</f>
        <v/>
      </c>
      <c r="H2" s="50" t="str">
        <f>IF(butterfree=true, image012, if(butterfreejp=true, image012jp, IF(butterfree=false, "", "")))</f>
        <v/>
      </c>
      <c r="I2" s="48"/>
      <c r="J2" s="51" t="str">
        <f>IF(rattata=true, image019, if(rattatajp=true, image019jp, IF(rattata=false, "", "")))</f>
        <v/>
      </c>
      <c r="K2" s="51" t="str">
        <f>IF(raticate=true, image020, if(raticatejp=true, image020jp, IF(raticate=false, "", "")))</f>
        <v/>
      </c>
      <c r="L2" s="51" t="str">
        <f>IF(spearow=true, image021, if(spearowjp=true, image021jp, IF(spearow=false, "", "")))</f>
        <v/>
      </c>
      <c r="M2" s="48"/>
      <c r="N2" s="51" t="str">
        <f>IF(sandslash=true, image028, if(sandslashjp=true, image028jp, IF(sandslash=false, "", "")))</f>
        <v/>
      </c>
      <c r="O2" s="51" t="str">
        <f>IF(nidoranf=true, image029, if(nidoranfjp=true, image029jp, IF(nidoranf=false, "", "")))</f>
        <v/>
      </c>
      <c r="P2" s="51" t="str">
        <f>IF(nidorina=true, image030, if(nidorinajp=true, image030jp, IF(nidorina=false, "", "")))</f>
        <v/>
      </c>
      <c r="Q2" s="48"/>
      <c r="R2" s="51" t="str">
        <f>IF(vulpix=true, image037, if(vulpixjp=true, image037jp, IF(vulpix=false, "", "")))</f>
        <v/>
      </c>
      <c r="S2" s="51" t="str">
        <f>IF(ninetales=true, image038, if(ninetalesjp=true, image038jp, IF(ninetales=false, "", "")))</f>
        <v/>
      </c>
      <c r="T2" s="51" t="str">
        <f>IF(jigglypuff=true, image039, if(jigglypuffjp=true, image039jp, IF(jigglypuff=false, "", "")))</f>
        <v/>
      </c>
      <c r="U2" s="48"/>
      <c r="V2" s="51" t="str">
        <f>IF(paras=true, image046, if(parasjp=true, image046jp, IF(paras=false, "", "")))</f>
        <v/>
      </c>
      <c r="W2" s="51" t="str">
        <f>IF(parasect=true, image047, if(parasectjp=true, image047jp, IF(parasect=false, "", "")))</f>
        <v/>
      </c>
      <c r="X2" s="51" t="str">
        <f>IF(venonat=true, image048, if(venonatjp=true, iamge048jp, IF(venonat=false, "", "")))</f>
        <v/>
      </c>
      <c r="Y2" s="48"/>
      <c r="Z2" s="51" t="str">
        <f>IF(golduck=true, image055, if(golduckjp=true, image055jp, IF(golduck=false, "", "")))</f>
        <v/>
      </c>
      <c r="AA2" s="51" t="str">
        <f>IF(mankey=true, image056, if(mankeyjp=true, image056jp, IF(mankey=false, "", "")))</f>
        <v/>
      </c>
      <c r="AB2" s="51" t="str">
        <f>IF(primeape=true, image057,if(primeapejp=true, image057jp,  IF(primeape=false, "", "")))</f>
        <v/>
      </c>
      <c r="AC2" s="48"/>
      <c r="AD2" s="51" t="str">
        <f>IF(kadabra=true, image064, if(kadabrajp=true, image064jp, IF(kadabra=false, "", "")))</f>
        <v/>
      </c>
      <c r="AE2" s="51" t="str">
        <f>IF(alakazam=true, image065, if(alakazamjp=true, image065jp, IF(alakazam=false, "", "")))</f>
        <v/>
      </c>
      <c r="AF2" s="51" t="str">
        <f>IF(machop=true, image066, if(machopjp=true, image066jp, IF(machop=false, "", "")))</f>
        <v/>
      </c>
      <c r="AG2" s="48"/>
      <c r="AH2" s="51" t="str">
        <f>IF(tentacruel=true, image073, if(tentacrueljp=true, image073jp, IF(tentacruel=false, "", "")))</f>
        <v/>
      </c>
      <c r="AI2" s="51" t="str">
        <f>IF(geodude=true, image074, if(geodudejp=true, image074jp, IF(geodude=false, "", "")))</f>
        <v/>
      </c>
      <c r="AJ2" s="51" t="str">
        <f>IF(graveler=true, image075, if(gravelerjp=true, image075jp,  IF(graveler=false, "", "")))</f>
        <v/>
      </c>
      <c r="AK2" s="48"/>
      <c r="AL2" s="51" t="str">
        <f>IF(magneton=true, image082, if(magnetonjp=true, image082jp, IF(magneton=false, "", "")))</f>
        <v/>
      </c>
      <c r="AM2" s="51" t="str">
        <f>IF(farfetchd=true, image083, if(farfetchdjp=true, image083jp, IF(farfetchd=false, "", "")))</f>
        <v/>
      </c>
      <c r="AN2" s="51" t="str">
        <f>IF(doduo=true, image084, if(doduojp=true, image084jp, IF(doduo=false, "", "")))</f>
        <v/>
      </c>
      <c r="AO2" s="48"/>
      <c r="AP2" s="51" t="str">
        <f>IF(cloyster=true, image091, if(cloysterjp=true, image091jp,IF(cloyster=false, "", "")))</f>
        <v/>
      </c>
      <c r="AQ2" s="51" t="str">
        <f>IF(gastly=true, image092, if(gastlyjp=true, image092jp,IF(gastly=false, "", "")))</f>
        <v/>
      </c>
      <c r="AR2" s="51" t="str">
        <f>IF(haunter=true, image093, if(haunterjp=true, image093jp, IF(haunter=false, "", "")))</f>
        <v/>
      </c>
      <c r="AS2" s="48"/>
      <c r="AT2" s="51" t="str">
        <f>IF(voltorb=true, image100, if(voltorbjp=true, image100jp,IF(voltorb=false, "", "")))</f>
        <v/>
      </c>
      <c r="AU2" s="51" t="str">
        <f>IF(electrode=true, image101, if(electrodejp=true, image101jp, IF(electrode=false, "", "")))</f>
        <v/>
      </c>
      <c r="AV2" s="51" t="str">
        <f>IF(exeggcute=true, image102, if(exeggcutejp=true, image102jp,IF(exeggcute=false, "", "")))</f>
        <v/>
      </c>
      <c r="AW2" s="48"/>
      <c r="AX2" s="51" t="str">
        <f>IF(koffing=true, image109, if(koffingjp=true, image109jp, IF(koffing=false, "", "")))</f>
        <v/>
      </c>
      <c r="AY2" s="51" t="str">
        <f>IF(weezing=true, image110, if(weezingjp=true, image110jp,IF(weezing=false, "", "")))</f>
        <v/>
      </c>
      <c r="AZ2" s="51" t="str">
        <f>IF(rhyhorn=true, image111, if(rhyhornjp=true, image111jp, IF(rhyhorn=false, "", "")))</f>
        <v/>
      </c>
      <c r="BA2" s="48"/>
      <c r="BB2" s="51" t="str">
        <f>IF(goldeen=true, image118, if(goldeenjp=true, image118jp,IF(goldeen=false, "", "")))</f>
        <v/>
      </c>
      <c r="BC2" s="51" t="str">
        <f>IF(seaking=true, image119, if(seakingjp=true, image119jp,IF(seaking=false, "", "")))</f>
        <v/>
      </c>
      <c r="BD2" s="51" t="str">
        <f>IF(staryu=true, image120, if(staryujp=true, image120jp,IF(staryu=false, "", "")))</f>
        <v/>
      </c>
      <c r="BE2" s="48"/>
      <c r="BF2" s="51" t="str">
        <f>IF(pinsir=true, image127, if(pinsirjp=true, image127jp, IF(pinsir=false, "", "")))</f>
        <v/>
      </c>
      <c r="BG2" s="51" t="str">
        <f>IF(tauros=true, image128, if(taurosjp=true, image128jp,IF(tauros=false, "", "")))</f>
        <v/>
      </c>
      <c r="BH2" s="51" t="str">
        <f>IF(magikarp=true, image129, if(magikarpjp=true, image129jp,IF(magikarp=false, "", "")))</f>
        <v/>
      </c>
      <c r="BI2" s="48"/>
      <c r="BJ2" s="51" t="str">
        <f>IF(flareon=true, image136, if(flareonjp=true, image136jp,IF(flareon=false, "", "")))</f>
        <v/>
      </c>
      <c r="BK2" s="51" t="str">
        <f>IF(porygon=true, image137, if(porygonjp=true, image137jp, IF(porygon=false, "", "")))</f>
        <v/>
      </c>
      <c r="BL2" s="51" t="str">
        <f>IF(omanyte=true, image138, if(omanytejp=true, image138jp, IF(omanyte=false, "", "")))</f>
        <v/>
      </c>
      <c r="BM2" s="48"/>
      <c r="BN2" s="51" t="str">
        <f>IF(zapdos=true, image145, if(zapdosjp=true, image145jp, IF(zapdos=false, "", "")))</f>
        <v/>
      </c>
      <c r="BO2" s="51" t="str">
        <f>IF(moltres=true, image146, if(moltresjp=true, image146jp, IF(moltres=false, "", "")))</f>
        <v/>
      </c>
      <c r="BP2" s="51" t="str">
        <f>IF(dratini=true, image147, if(dratinijp=true, image147jp,IF(dratini=false, "", "")))</f>
        <v/>
      </c>
      <c r="BQ2" s="48"/>
      <c r="BR2" s="48"/>
      <c r="BS2" s="48"/>
      <c r="BT2" s="48"/>
      <c r="BU2" s="48"/>
      <c r="BV2" s="48"/>
    </row>
    <row r="3" ht="112.5" customHeight="1">
      <c r="A3" s="46"/>
      <c r="B3" s="50" t="str">
        <f>IF(charmander=true, image004, if(charmanderjp=true, image004jp, IF(charmander=false, "", "")))</f>
        <v>#REF!</v>
      </c>
      <c r="C3" s="49" t="str">
        <f>IF(charmeleon=true, image005, if(charmeleonjp=true, image005jp, IF(charmeleon=false, "", "")))</f>
        <v/>
      </c>
      <c r="D3" s="49" t="str">
        <f>IF(charizard=true, image006, if(charizardjp=true, image006jp, IF(charizard=false, "", "")))</f>
        <v/>
      </c>
      <c r="E3" s="48"/>
      <c r="F3" s="51" t="str">
        <f>IF(weedle=true, image013, if(weedlejp=true, image013jp, IF(weedle=false, "", "")))</f>
        <v/>
      </c>
      <c r="G3" s="51" t="str">
        <f>IF(kakuna=true, image014, IF(kakuna=false, "", ""))</f>
        <v/>
      </c>
      <c r="H3" s="51" t="str">
        <f>IF(beedrill=true, image015, if(beedrilljp=true, image015jp, IF(beedrill=false, "", "")))</f>
        <v/>
      </c>
      <c r="I3" s="48"/>
      <c r="J3" s="51" t="str">
        <f>IF(fearow=true, image022, if(fearowjp=true, image022jp, IF(fearow=false, "", "")))</f>
        <v/>
      </c>
      <c r="K3" s="51" t="str">
        <f>IF(ekans=true, image023, if(ekansjp=true, image023jp, IF(ekans=false, "", "")))</f>
        <v/>
      </c>
      <c r="L3" s="51" t="str">
        <f>IF(arbok=true, image024, if(arbokjp=true, image024jp, IF(arbok=false, "", "")))</f>
        <v/>
      </c>
      <c r="M3" s="48"/>
      <c r="N3" s="51" t="str">
        <f>IF(nidoqueen=true, image031, if(nidoqueenjp=true, image031jp, IF(nidoqueen=false, "", "")))</f>
        <v/>
      </c>
      <c r="O3" s="51" t="str">
        <f>IF(nidoranm=true, image032, if(nidoranmjp=true, image032jp, IF(nidoranm=false, "", "")))</f>
        <v/>
      </c>
      <c r="P3" s="51" t="str">
        <f>IF(nidorino=true, image033, if(nidorinojp=true, image033jp, IF(nidorino=false, "", "")))</f>
        <v/>
      </c>
      <c r="Q3" s="48"/>
      <c r="R3" s="51" t="str">
        <f>IF(wigglytuff=true, image040, if(wigglytuffjp=true, image040jp, IF(wigglytuff=false, "", "")))</f>
        <v/>
      </c>
      <c r="S3" s="51" t="str">
        <f>IF(zubat=true, image041, if(zubatjp=true, image041jp, IF(zubat=false, "", "")))</f>
        <v/>
      </c>
      <c r="T3" s="51" t="str">
        <f>IF(golbat=true, image042, if(golbatjp=true, image042jp,  IF(golbat=false, "", "")))</f>
        <v/>
      </c>
      <c r="U3" s="48"/>
      <c r="V3" s="51" t="str">
        <f>IF(venomoth=true, image049, if(venomothjp=true, image049jp, IF(venomoth=false, "", "")))</f>
        <v/>
      </c>
      <c r="W3" s="51" t="str">
        <f>IF(diglett=true, image050, if(diglettjp=true, image050jp, IF(diglett=false, "", "")))</f>
        <v/>
      </c>
      <c r="X3" s="51" t="str">
        <f>IF(dugtrio=true, image051, if(dugtriojp=true, image051jp,IF(dugtrio=false, "", "")))</f>
        <v/>
      </c>
      <c r="Y3" s="48"/>
      <c r="Z3" s="51" t="str">
        <f>IF(growlithe=true, image058, if(growlithejp=true, image059jp, IF(growlithe=false, "", "")))</f>
        <v/>
      </c>
      <c r="AA3" s="51" t="str">
        <f>IF(arcanine=true, image059, if(arcaninejp=true, image059jp,  IF(arcanine=false, "", "")))</f>
        <v/>
      </c>
      <c r="AB3" s="51" t="str">
        <f>IF(poliwag=true, image060, if(poliwagjp=true, image060jp, IF(poliwag=false, "", "")))</f>
        <v/>
      </c>
      <c r="AC3" s="48"/>
      <c r="AD3" s="51" t="str">
        <f>IF(machoke=true, image067, if(machokejp=true, image067jp, IF(machoke=false, "", "")))</f>
        <v/>
      </c>
      <c r="AE3" s="51" t="str">
        <f>IF(machamp=true, image068, if(machampjp=true, image068jp, IF(machamp=false, "", "")))</f>
        <v/>
      </c>
      <c r="AF3" s="51" t="str">
        <f>IF(bellsprout=true, image069, if(bellsproutjp=true, image069jp, IF(bellsprout=false, "", "")))</f>
        <v/>
      </c>
      <c r="AG3" s="48"/>
      <c r="AH3" s="52" t="str">
        <f>IF(golem=true, image076, if(golemjp=true, image076jp, IF(golem=false, "", "")))</f>
        <v/>
      </c>
      <c r="AI3" s="51" t="str">
        <f>IF(ponyta=true, image077, if(ponytajp=true, image077jp, IF(ponyta=false, "", "")))</f>
        <v/>
      </c>
      <c r="AJ3" s="51" t="str">
        <f>IF(rapidash=true, image078, if(rapidashjp=true, image078jp, IF(rapidash=false, "", "")))</f>
        <v/>
      </c>
      <c r="AK3" s="48"/>
      <c r="AL3" s="51" t="str">
        <f>IF(dodrio=true, image085, if(dodriojp=true, image085jp, IF(dodrio=false, "", "")))</f>
        <v/>
      </c>
      <c r="AM3" s="51" t="str">
        <f>IF(seel=true, image086, if(seeljp=true, image086jp,IF(seel=false, "", "")))</f>
        <v/>
      </c>
      <c r="AN3" s="51" t="str">
        <f>IF(dewgong=true, image087, if(dewgongjp=true, image087jp,IF(dewgong=false, "", "")))</f>
        <v/>
      </c>
      <c r="AO3" s="48"/>
      <c r="AP3" s="51" t="str">
        <f>IF(gengar=true, image094, if(gengarjp=true, image094jp, IF(gengar=false, "", "")))</f>
        <v/>
      </c>
      <c r="AQ3" s="51" t="str">
        <f>IF(onix=true, image095, if(onixjp=true, image095jp,IF(onix=false, "", "")))</f>
        <v/>
      </c>
      <c r="AR3" s="51" t="str">
        <f>IF(drowzee=true, image096, if(drowzeejp=true, image096jp,IF(drowzee=false, "", "")))</f>
        <v/>
      </c>
      <c r="AS3" s="48"/>
      <c r="AT3" s="51" t="str">
        <f>IF(exeggutor=true, image103, if(exeggutorjp=true, image103jp, IF(exeggutor=false, "", "")))</f>
        <v/>
      </c>
      <c r="AU3" s="51" t="str">
        <f>IF(cubone=true, image104, if(cubonejp=true, image104jp,IF(cubone=false, "", "")))</f>
        <v/>
      </c>
      <c r="AV3" s="51" t="str">
        <f>IF(marowak=true, image105, if(marowakjp=true, image105jp,IF(marowak=false, "", "")))</f>
        <v/>
      </c>
      <c r="AW3" s="48"/>
      <c r="AX3" s="51" t="str">
        <f>IF(rhydon=true, image112, if(rhydonjp=true, image112jp,IF(rhydon=false, "", "")))</f>
        <v/>
      </c>
      <c r="AY3" s="51" t="str">
        <f>IF(chansey=true, image113, if(chanseyjp=true, image113jp,IF(chansey=false, "", "")))</f>
        <v/>
      </c>
      <c r="AZ3" s="51" t="str">
        <f>IF(tangela=true, image114, if(tangelajp=true, image114jp,IF(tangela=false, "", "")))</f>
        <v/>
      </c>
      <c r="BA3" s="48"/>
      <c r="BB3" s="51" t="str">
        <f>IF(starmie=true, image121, if(starmiejp=true, image121jp, IF(starmie=false, "", "")))</f>
        <v/>
      </c>
      <c r="BC3" s="51" t="str">
        <f>IF(mrmime=true, image122, if(mrmimejp=true, image122jp,IF(mrmime=false, "", "")))</f>
        <v/>
      </c>
      <c r="BD3" s="51" t="str">
        <f>IF(scyther=true, image123, if(scytherjp=true, image123jp,IF(scyther=false, "", "")))</f>
        <v/>
      </c>
      <c r="BE3" s="48"/>
      <c r="BF3" s="51" t="str">
        <f>IF(gyarados=true, image130, if(gyaradosjp=true, image130jp,IF(gyarados=false, "", "")))</f>
        <v/>
      </c>
      <c r="BG3" s="51" t="str">
        <f>IF(lapras=true, image131, if(laprasjp=true, image131jp,IF(lapras=false, "", "")))</f>
        <v/>
      </c>
      <c r="BH3" s="51" t="str">
        <f>IF(ditto=true, image132, if(dittojp=true, image132jp,IF(ditto=false, "", "")))</f>
        <v/>
      </c>
      <c r="BI3" s="48"/>
      <c r="BJ3" s="51" t="str">
        <f>IF(omastar=true, image139, if(omastarjp=true, image139jp, IF(omastar=false, "", "")))</f>
        <v/>
      </c>
      <c r="BK3" s="51" t="str">
        <f>IF(kabuto=true, image140, if(kabutojp=true, image140jp, IF(kabuto=false, "", "")))</f>
        <v/>
      </c>
      <c r="BL3" s="51" t="str">
        <f>IF(kabutops=true, image141, if(kabutopsjp=true, image141jp, IF(kabutops=false, "", "")))</f>
        <v/>
      </c>
      <c r="BM3" s="48"/>
      <c r="BN3" s="51" t="str">
        <f>IF(dragonair=true, image148, if(dragonairjp=true, image148jp,IF(dragonair=false, "", "")))</f>
        <v/>
      </c>
      <c r="BO3" s="51" t="str">
        <f>IF(dragonite=true, image149, if(dragonitejp=true, image149jp,IF(dragonite=false, "", "")))</f>
        <v/>
      </c>
      <c r="BP3" s="51" t="str">
        <f>IF(mewtwo=true, image150, if(mewtwojp=true, image150jp,IF(mewtwo=false, "", "")))</f>
        <v/>
      </c>
      <c r="BQ3" s="48"/>
      <c r="BR3" s="48"/>
      <c r="BS3" s="48"/>
      <c r="BT3" s="48"/>
      <c r="BU3" s="48"/>
      <c r="BV3" s="48"/>
    </row>
    <row r="4" ht="112.5" customHeight="1">
      <c r="A4" s="46"/>
      <c r="B4" s="49" t="str">
        <f>IF(squirtle=true, image007, if(squirtlejp=true, image007jp, IF(squirtle=false, "", "")))</f>
        <v/>
      </c>
      <c r="C4" s="49" t="str">
        <f>if(wartortle=true, image008, if(wartortlejp=true, image008jp, if(wartortle=false, "", "")))</f>
        <v/>
      </c>
      <c r="D4" s="49" t="str">
        <f>IF(blastoise=true, image009, if(blastoisejp=true, image009jp, IF(blastoise=false, "", "")))</f>
        <v/>
      </c>
      <c r="E4" s="48"/>
      <c r="F4" s="51" t="str">
        <f>IF(pidgey=true, image016, if(pidgeyjp=true, image016jp, IF(pidgey=false, "", "")))</f>
        <v/>
      </c>
      <c r="G4" s="51" t="str">
        <f>IF(pidgeotto=true, image017, if(pidgeottojp=true, image017jp, IF(pidgeotto=false, "", "")))</f>
        <v/>
      </c>
      <c r="H4" s="51" t="str">
        <f>IF(pidgeot=true, image018, if(pidgeotjp=true, image018jp, IF(pidgeot=false, "", "")))</f>
        <v/>
      </c>
      <c r="I4" s="48"/>
      <c r="J4" s="51" t="str">
        <f>IF(pikachu=true, image025, if(pikachujp=true, image025jp, IF(pikachu=false, "", "")))</f>
        <v/>
      </c>
      <c r="K4" s="51" t="str">
        <f>IF(raichu=true, image026, if(raichujp=true, image026jp, IF(raichu=false, "", "")))</f>
        <v/>
      </c>
      <c r="L4" s="51" t="str">
        <f>IF(sandshrew=true, image027, if(sandshrewjp=true, image027jp, IF(sandshrew=false, "", "")))</f>
        <v/>
      </c>
      <c r="M4" s="48"/>
      <c r="N4" s="51" t="str">
        <f>IF(nidoking=true, image034, if(nidokingjp, image034jp, IF(nidoking=false, "", "")))</f>
        <v/>
      </c>
      <c r="O4" s="51" t="str">
        <f>IF(clefairy=true, image035, if(clefairyjp=true, image035jp, IF(clefairy=false, "", "")))</f>
        <v/>
      </c>
      <c r="P4" s="51" t="str">
        <f>IF(clefable=true, image036, if(clefablejp=true, image036jp, IF(clefable=false, "", "")))</f>
        <v/>
      </c>
      <c r="Q4" s="48"/>
      <c r="R4" s="51" t="str">
        <f>IF(oddish=true, image043, if(oddishjp=true, image043jp, IF(oddish=false, "", "")))</f>
        <v/>
      </c>
      <c r="S4" s="51" t="str">
        <f>IF(gloom=true, image044, if(gloomjp=true, image044jp, IF(gloom=false, "", "")))</f>
        <v/>
      </c>
      <c r="T4" s="51" t="str">
        <f>IF(vileplume=true, image045, if(vileplumejp=true, image045jp, IF(vileplume=false, "", "")))</f>
        <v/>
      </c>
      <c r="U4" s="48"/>
      <c r="V4" s="51" t="str">
        <f>IF(meowth=true, image052, if(meowthjp=true, image052jp, IF(meowth=false, "", "")))</f>
        <v/>
      </c>
      <c r="W4" s="51" t="str">
        <f>IF(persian=true, image053, if(persianjp=true, image053jp,IF(persian=false, "", "")))</f>
        <v/>
      </c>
      <c r="X4" s="51" t="str">
        <f>IF(psyduck=true, image054, if(psyduckjp=true, image054jp, IF(psyduck=false, "", "")))</f>
        <v/>
      </c>
      <c r="Y4" s="48"/>
      <c r="Z4" s="51" t="str">
        <f>IF(poliwhirl=true, image061, if(poliwhirljp=true, image061jp, IF(poliwhirl=false, "", "")))</f>
        <v/>
      </c>
      <c r="AA4" s="51" t="str">
        <f>IF(poliwrath=true, image062, if(poliwrathjp=true, image062jp, IF(poliwrath=false, "", "")))</f>
        <v/>
      </c>
      <c r="AB4" s="51" t="str">
        <f>IF(abra=true, image063, if(abrajp=true, image063jp, IF(abra=false, "", "")))</f>
        <v/>
      </c>
      <c r="AC4" s="48"/>
      <c r="AD4" s="51" t="str">
        <f>IF(weepinbell=true, image070, if(weepinbelljp=true, image070jp, IF(weepinbell=false, "", "")))</f>
        <v/>
      </c>
      <c r="AE4" s="51" t="str">
        <f>IF(victreebel=true, image071, if(victreebeljp=true, image071jp,  IF(victreebel=false, "", "")))</f>
        <v/>
      </c>
      <c r="AF4" s="51" t="str">
        <f>IF(tentacool=true, image072, if(tentacooljp=true, image073jp, IF(tentacool=false, "", "")))</f>
        <v/>
      </c>
      <c r="AG4" s="48"/>
      <c r="AH4" s="51" t="str">
        <f>IF(slowpoke=true, image079, if(slowpokejp=true, image079jp, IF(slowpoke=false, "", "")))</f>
        <v/>
      </c>
      <c r="AI4" s="51" t="str">
        <f>IF(slowbro=true, image080, if(slowbrojp=true, image080jp, IF(slowbro=false, "", "")))</f>
        <v/>
      </c>
      <c r="AJ4" s="51" t="str">
        <f>IF(magnemite=true, image081, if(magnemitejp=true, image081jp, IF(magnemite=false, "", "")))</f>
        <v/>
      </c>
      <c r="AK4" s="48"/>
      <c r="AL4" s="51" t="str">
        <f>IF(grimer=true, image088, if(grimerjp=true, image088jp, IF(grimer=false, "", "")))</f>
        <v/>
      </c>
      <c r="AM4" s="51" t="str">
        <f>IF(muk=true, image089, if(mukjp=true, image089jp,IF(muk=false, "", "")))</f>
        <v/>
      </c>
      <c r="AN4" s="51" t="str">
        <f>IF(shellder=true, image090, if(shellderjp=true, image090jp, IF(shellder=false, "", "")))</f>
        <v/>
      </c>
      <c r="AO4" s="48"/>
      <c r="AP4" s="51" t="str">
        <f>IF(hypno=true, image097, if(hypnojp=true, image097jp,IF(hypno=false, "", "")))</f>
        <v/>
      </c>
      <c r="AQ4" s="51" t="str">
        <f>IF(krabby=true, image098, if(krabbyjp=true, image098jp,IF(krabby=false, "", "")))</f>
        <v/>
      </c>
      <c r="AR4" s="51" t="str">
        <f>IF(kingler=true, image099, if(kinglerjp=true, image099jp,IF(kingler=false, "", "")))</f>
        <v/>
      </c>
      <c r="AS4" s="48"/>
      <c r="AT4" s="51" t="str">
        <f>IF(hitmonlee=true, image106, if(hitmonleejp=true, image106jp,IF(hitmonlee=false, "", "")))</f>
        <v/>
      </c>
      <c r="AU4" s="51" t="str">
        <f>IF(hitmonchan=true, image107, if(hitmonchanjp=true, image107jp,IF(hitmonchan=false, "", "")))</f>
        <v/>
      </c>
      <c r="AV4" s="51" t="str">
        <f>IF(lickitung=true, image108, if(lickitungjp=true, image108jp, IF(lickitung=false, "", "")))</f>
        <v/>
      </c>
      <c r="AW4" s="48"/>
      <c r="AX4" s="51" t="str">
        <f>IF(kangaskhan=true, image115, if(kangaskhanjp=true, image115jp,IF(kangaskhan=false, "", "")))</f>
        <v/>
      </c>
      <c r="AY4" s="51" t="str">
        <f>IF(horsea=true, image116, if(horseajp=true, image116jp, IF(horsea=false, "", "")))</f>
        <v/>
      </c>
      <c r="AZ4" s="51" t="str">
        <f>IF(seadra=true, image117, if(seadrajp=true, image117jp,IF(seadra=false, "", "")))</f>
        <v/>
      </c>
      <c r="BA4" s="48"/>
      <c r="BB4" s="51" t="str">
        <f>IF(jynx=true, image124, if(jynxjp=true, image124jp,IF(jynx=false, "", "")))</f>
        <v/>
      </c>
      <c r="BC4" s="51" t="str">
        <f>IF(electabuzz=true, image125, if(electabuzzjp=true, image125jp,IF(electabuzz=false, "", "")))</f>
        <v/>
      </c>
      <c r="BD4" s="51" t="str">
        <f>IF(magmar=true, image126, if(magmarjp=true, image126jp, IF(magmar=false, "", "")))</f>
        <v/>
      </c>
      <c r="BE4" s="48"/>
      <c r="BF4" s="51" t="str">
        <f>IF(eevee=true, image133, if(eeveejp=true, image133jp,IF(eevee=false, "", "")))</f>
        <v/>
      </c>
      <c r="BG4" s="51" t="str">
        <f>IF(vaporeon=true, image134, if(vaporeonjp=true, image134jp,IF(vaporeon=false, "", "")))</f>
        <v/>
      </c>
      <c r="BH4" s="51" t="str">
        <f>IF(jolteon=true, image135, if(jolteonjp=true, image135jp,IF(jolteon=false, "", "")))</f>
        <v/>
      </c>
      <c r="BI4" s="48"/>
      <c r="BJ4" s="51" t="str">
        <f>IF(aerodactyl=true, image142, if(aerodactyljp=true, image142jp, IF(aerodactyl=false, "", "")))</f>
        <v/>
      </c>
      <c r="BK4" s="51" t="str">
        <f>IF(snorlax=true, image143, if(snorlaxjp=true, image143jp, IF(snorlax=false, "", "")))</f>
        <v/>
      </c>
      <c r="BL4" s="51" t="str">
        <f>IF(articuno=true, image144, if(articunojp=true, image144jp,IF(articuno=false, "", "")))</f>
        <v/>
      </c>
      <c r="BM4" s="48"/>
      <c r="BN4" s="51" t="str">
        <f>IF(mew=true, image151, if(mewjp=true, image151jp,IF(mew=false, "", "")))</f>
        <v/>
      </c>
      <c r="BO4" s="48"/>
      <c r="BP4" s="48"/>
      <c r="BQ4" s="48"/>
      <c r="BR4" s="48"/>
      <c r="BS4" s="48"/>
      <c r="BT4" s="48"/>
      <c r="BU4" s="48"/>
      <c r="BV4" s="48"/>
    </row>
    <row r="5" ht="15.0" customHeight="1">
      <c r="A5" s="46"/>
      <c r="B5" s="53"/>
      <c r="C5" s="53"/>
      <c r="D5" s="53"/>
      <c r="E5" s="48"/>
      <c r="F5" s="48"/>
      <c r="G5" s="48"/>
      <c r="H5" s="48"/>
      <c r="I5" s="48"/>
      <c r="J5" s="48"/>
      <c r="K5" s="48"/>
      <c r="L5" s="48"/>
      <c r="M5" s="48"/>
      <c r="N5" s="48"/>
      <c r="O5" s="48"/>
      <c r="P5" s="48"/>
      <c r="Q5" s="48"/>
      <c r="R5" s="48"/>
      <c r="S5" s="48"/>
      <c r="T5" s="48"/>
      <c r="U5" s="48"/>
      <c r="V5" s="48"/>
      <c r="W5" s="48"/>
      <c r="X5" s="48"/>
      <c r="Y5" s="48"/>
      <c r="Z5" s="48"/>
      <c r="AA5" s="48"/>
      <c r="AB5" s="48"/>
      <c r="AC5" s="48"/>
      <c r="AD5" s="48"/>
      <c r="AE5" s="48"/>
      <c r="AF5" s="48"/>
      <c r="AG5" s="48"/>
      <c r="AH5" s="48"/>
      <c r="AI5" s="48"/>
      <c r="AJ5" s="48"/>
      <c r="AK5" s="48"/>
      <c r="AL5" s="48"/>
      <c r="AM5" s="48"/>
      <c r="AN5" s="48"/>
      <c r="AO5" s="48"/>
      <c r="AP5" s="48"/>
      <c r="AQ5" s="48"/>
      <c r="AR5" s="48"/>
      <c r="AS5" s="48"/>
      <c r="AT5" s="48"/>
      <c r="AU5" s="48"/>
      <c r="AV5" s="48"/>
      <c r="AW5" s="48"/>
      <c r="AX5" s="48"/>
      <c r="AY5" s="48"/>
      <c r="AZ5" s="48"/>
      <c r="BA5" s="48"/>
      <c r="BB5" s="48"/>
      <c r="BC5" s="48"/>
      <c r="BD5" s="48"/>
      <c r="BE5" s="48"/>
      <c r="BF5" s="48"/>
      <c r="BG5" s="48"/>
      <c r="BH5" s="48"/>
      <c r="BI5" s="48"/>
      <c r="BJ5" s="48"/>
      <c r="BK5" s="48"/>
      <c r="BL5" s="48"/>
      <c r="BM5" s="48"/>
      <c r="BN5" s="48"/>
      <c r="BO5" s="48"/>
      <c r="BP5" s="48"/>
      <c r="BQ5" s="48"/>
      <c r="BR5" s="48"/>
      <c r="BS5" s="48"/>
      <c r="BT5" s="48"/>
      <c r="BU5" s="48"/>
      <c r="BV5" s="48"/>
    </row>
    <row r="6" ht="15.0" customHeight="1">
      <c r="A6" s="46"/>
      <c r="B6" s="50"/>
      <c r="C6" s="50"/>
      <c r="D6" s="50"/>
      <c r="E6" s="48"/>
      <c r="F6" s="48"/>
      <c r="G6" s="48"/>
      <c r="H6" s="48"/>
      <c r="I6" s="48"/>
      <c r="J6" s="48"/>
      <c r="K6" s="48"/>
      <c r="L6" s="48"/>
      <c r="M6" s="48"/>
      <c r="N6" s="48"/>
      <c r="O6" s="48"/>
      <c r="P6" s="48"/>
      <c r="Q6" s="48"/>
      <c r="R6" s="48"/>
      <c r="S6" s="48"/>
      <c r="T6" s="48"/>
      <c r="U6" s="48"/>
      <c r="V6" s="48"/>
      <c r="W6" s="48"/>
      <c r="X6" s="48"/>
      <c r="Y6" s="48"/>
      <c r="Z6" s="48"/>
      <c r="AA6" s="48"/>
      <c r="AB6" s="48"/>
      <c r="AC6" s="48"/>
      <c r="AD6" s="48"/>
      <c r="AE6" s="48"/>
      <c r="AF6" s="48"/>
      <c r="AG6" s="48"/>
      <c r="AH6" s="48"/>
      <c r="AI6" s="48"/>
      <c r="AJ6" s="48"/>
      <c r="AK6" s="48"/>
      <c r="AL6" s="48"/>
      <c r="AM6" s="48"/>
      <c r="AN6" s="48"/>
      <c r="AO6" s="48"/>
      <c r="AP6" s="48"/>
      <c r="AQ6" s="48"/>
      <c r="AR6" s="48"/>
      <c r="AS6" s="48"/>
      <c r="AT6" s="48"/>
      <c r="AU6" s="48"/>
      <c r="AV6" s="48"/>
      <c r="AW6" s="48"/>
      <c r="AX6" s="48"/>
      <c r="AY6" s="48"/>
      <c r="AZ6" s="48"/>
      <c r="BA6" s="48"/>
      <c r="BB6" s="48"/>
      <c r="BC6" s="48"/>
      <c r="BD6" s="48"/>
      <c r="BE6" s="48"/>
      <c r="BF6" s="48"/>
      <c r="BG6" s="48"/>
      <c r="BH6" s="48"/>
      <c r="BI6" s="48"/>
      <c r="BJ6" s="48"/>
      <c r="BK6" s="48"/>
      <c r="BL6" s="48"/>
      <c r="BM6" s="48"/>
      <c r="BN6" s="48"/>
      <c r="BO6" s="48"/>
      <c r="BP6" s="48"/>
      <c r="BQ6" s="48"/>
      <c r="BR6" s="48"/>
      <c r="BS6" s="48"/>
      <c r="BT6" s="48"/>
      <c r="BU6" s="48"/>
      <c r="BV6" s="48"/>
    </row>
    <row r="7" ht="15.0" customHeight="1">
      <c r="A7" s="46"/>
      <c r="B7" s="50"/>
      <c r="C7" s="50"/>
      <c r="D7" s="50"/>
      <c r="E7" s="48"/>
      <c r="F7" s="48"/>
      <c r="G7" s="48"/>
      <c r="H7" s="48"/>
      <c r="I7" s="48"/>
      <c r="J7" s="48"/>
      <c r="K7" s="48"/>
      <c r="L7" s="48"/>
      <c r="M7" s="48"/>
      <c r="N7" s="48"/>
      <c r="O7" s="48"/>
      <c r="P7" s="48"/>
      <c r="Q7" s="48"/>
      <c r="R7" s="48"/>
      <c r="S7" s="48"/>
      <c r="T7" s="48"/>
      <c r="U7" s="48"/>
      <c r="V7" s="48"/>
      <c r="W7" s="48"/>
      <c r="X7" s="48"/>
      <c r="Y7" s="48"/>
      <c r="Z7" s="48"/>
      <c r="AA7" s="48"/>
      <c r="AB7" s="48"/>
      <c r="AC7" s="48"/>
      <c r="AD7" s="48"/>
      <c r="AE7" s="48"/>
      <c r="AF7" s="48"/>
      <c r="AG7" s="48"/>
      <c r="AH7" s="48"/>
      <c r="AI7" s="48"/>
      <c r="AJ7" s="48"/>
      <c r="AK7" s="48"/>
      <c r="AL7" s="48"/>
      <c r="AM7" s="48"/>
      <c r="AN7" s="48"/>
      <c r="AO7" s="48"/>
      <c r="AP7" s="48"/>
      <c r="AQ7" s="48"/>
      <c r="AR7" s="48"/>
      <c r="AS7" s="48"/>
      <c r="AT7" s="48"/>
      <c r="AU7" s="48"/>
      <c r="AV7" s="48"/>
      <c r="AW7" s="48"/>
      <c r="AX7" s="48"/>
      <c r="AY7" s="48"/>
      <c r="AZ7" s="48"/>
      <c r="BA7" s="48"/>
      <c r="BB7" s="48"/>
      <c r="BC7" s="48"/>
      <c r="BD7" s="48"/>
      <c r="BE7" s="48"/>
      <c r="BF7" s="48"/>
      <c r="BG7" s="48"/>
      <c r="BH7" s="48"/>
      <c r="BI7" s="48"/>
      <c r="BJ7" s="48"/>
      <c r="BK7" s="48"/>
      <c r="BL7" s="48"/>
      <c r="BM7" s="48"/>
      <c r="BN7" s="48"/>
      <c r="BO7" s="48"/>
      <c r="BP7" s="48"/>
      <c r="BQ7" s="48"/>
      <c r="BR7" s="48"/>
      <c r="BS7" s="48"/>
      <c r="BT7" s="48"/>
      <c r="BU7" s="48"/>
      <c r="BV7" s="48"/>
    </row>
    <row r="8" ht="15.0" customHeight="1">
      <c r="A8" s="46"/>
      <c r="B8" s="50"/>
      <c r="C8" s="50"/>
      <c r="D8" s="50"/>
      <c r="E8" s="48"/>
      <c r="F8" s="48"/>
      <c r="G8" s="48"/>
      <c r="H8" s="48"/>
      <c r="I8" s="48"/>
      <c r="J8" s="48"/>
      <c r="K8" s="48"/>
      <c r="L8" s="48"/>
      <c r="M8" s="48"/>
      <c r="N8" s="48"/>
      <c r="O8" s="48"/>
      <c r="P8" s="48"/>
      <c r="Q8" s="48"/>
      <c r="R8" s="48"/>
      <c r="S8" s="48"/>
      <c r="T8" s="48"/>
      <c r="U8" s="48"/>
      <c r="V8" s="48"/>
      <c r="W8" s="48"/>
      <c r="X8" s="48"/>
      <c r="Y8" s="48"/>
      <c r="Z8" s="48"/>
      <c r="AA8" s="48"/>
      <c r="AB8" s="48"/>
      <c r="AC8" s="48"/>
      <c r="AD8" s="48"/>
      <c r="AE8" s="48"/>
      <c r="AF8" s="48"/>
      <c r="AG8" s="48"/>
      <c r="AH8" s="48"/>
      <c r="AI8" s="48"/>
      <c r="AJ8" s="48"/>
      <c r="AK8" s="48"/>
      <c r="AL8" s="48"/>
      <c r="AM8" s="48"/>
      <c r="AN8" s="48"/>
      <c r="AO8" s="48"/>
      <c r="AP8" s="48"/>
      <c r="AQ8" s="48"/>
      <c r="AR8" s="48"/>
      <c r="AS8" s="48"/>
      <c r="AT8" s="48"/>
      <c r="AU8" s="48"/>
      <c r="AV8" s="48"/>
      <c r="AW8" s="48"/>
      <c r="AX8" s="48"/>
      <c r="AY8" s="48"/>
      <c r="AZ8" s="48"/>
      <c r="BA8" s="48"/>
      <c r="BB8" s="48"/>
      <c r="BC8" s="48"/>
      <c r="BD8" s="48"/>
      <c r="BE8" s="48"/>
      <c r="BF8" s="48"/>
      <c r="BG8" s="48"/>
      <c r="BH8" s="48"/>
      <c r="BI8" s="48"/>
      <c r="BJ8" s="48"/>
      <c r="BK8" s="48"/>
      <c r="BL8" s="48"/>
      <c r="BM8" s="48"/>
      <c r="BN8" s="48"/>
      <c r="BO8" s="48"/>
      <c r="BP8" s="48"/>
      <c r="BQ8" s="48"/>
      <c r="BR8" s="48"/>
      <c r="BS8" s="48"/>
      <c r="BT8" s="48"/>
      <c r="BU8" s="48"/>
      <c r="BV8" s="48"/>
    </row>
    <row r="9" ht="15.0" customHeight="1">
      <c r="A9" s="46"/>
      <c r="B9" s="53"/>
      <c r="C9" s="53"/>
      <c r="D9" s="53"/>
      <c r="E9" s="48"/>
      <c r="F9" s="48"/>
      <c r="G9" s="48"/>
      <c r="H9" s="48"/>
      <c r="I9" s="48"/>
      <c r="J9" s="48"/>
      <c r="K9" s="48"/>
      <c r="L9" s="48"/>
      <c r="M9" s="48"/>
      <c r="N9" s="48"/>
      <c r="O9" s="48"/>
      <c r="P9" s="48"/>
      <c r="Q9" s="48"/>
      <c r="R9" s="48"/>
      <c r="S9" s="48"/>
      <c r="T9" s="48"/>
      <c r="U9" s="48"/>
      <c r="V9" s="48"/>
      <c r="W9" s="48"/>
      <c r="X9" s="48"/>
      <c r="Y9" s="48"/>
      <c r="Z9" s="48"/>
      <c r="AA9" s="48"/>
      <c r="AB9" s="48"/>
      <c r="AC9" s="48"/>
      <c r="AD9" s="48"/>
      <c r="AE9" s="48"/>
      <c r="AF9" s="48"/>
      <c r="AG9" s="48"/>
      <c r="AH9" s="48"/>
      <c r="AI9" s="48"/>
      <c r="AJ9" s="48"/>
      <c r="AK9" s="48"/>
      <c r="AL9" s="48"/>
      <c r="AM9" s="48"/>
      <c r="AN9" s="48"/>
      <c r="AO9" s="48"/>
      <c r="AP9" s="48"/>
      <c r="AQ9" s="48"/>
      <c r="AR9" s="48"/>
      <c r="AS9" s="48"/>
      <c r="AT9" s="48"/>
      <c r="AU9" s="48"/>
      <c r="AV9" s="48"/>
      <c r="AW9" s="48"/>
      <c r="AX9" s="48"/>
      <c r="AY9" s="48"/>
      <c r="AZ9" s="48"/>
      <c r="BA9" s="48"/>
      <c r="BB9" s="48"/>
      <c r="BC9" s="48"/>
      <c r="BD9" s="48"/>
      <c r="BE9" s="48"/>
      <c r="BF9" s="48"/>
      <c r="BG9" s="48"/>
      <c r="BH9" s="48"/>
      <c r="BI9" s="48"/>
      <c r="BJ9" s="48"/>
      <c r="BK9" s="48"/>
      <c r="BL9" s="48"/>
      <c r="BM9" s="48"/>
      <c r="BN9" s="48"/>
      <c r="BO9" s="48"/>
      <c r="BP9" s="48"/>
      <c r="BQ9" s="48"/>
      <c r="BR9" s="48"/>
      <c r="BS9" s="48"/>
      <c r="BT9" s="48"/>
      <c r="BU9" s="48"/>
      <c r="BV9" s="48"/>
    </row>
  </sheetData>
  <autoFilter ref="$F$1:$H$4"/>
  <mergeCells count="17">
    <mergeCell ref="B1:D1"/>
    <mergeCell ref="F1:H1"/>
    <mergeCell ref="J1:L1"/>
    <mergeCell ref="N1:P1"/>
    <mergeCell ref="R1:T1"/>
    <mergeCell ref="V1:X1"/>
    <mergeCell ref="Z1:AB1"/>
    <mergeCell ref="BF1:BH1"/>
    <mergeCell ref="BJ1:BL1"/>
    <mergeCell ref="BN1:BP1"/>
    <mergeCell ref="AD1:AF1"/>
    <mergeCell ref="AH1:AJ1"/>
    <mergeCell ref="AL1:AN1"/>
    <mergeCell ref="AP1:AR1"/>
    <mergeCell ref="AT1:AV1"/>
    <mergeCell ref="AX1:AZ1"/>
    <mergeCell ref="BB1:BD1"/>
  </mergeCells>
  <conditionalFormatting sqref="B2:D4 F2:H4 J2:L4 N2:P4 R2:T4 V2:X4 Z2:AB4 AD2:AF4 AH2:AJ4 AL2:AN4 AP2:AR4 AT2:AV4 AX2:AZ4 BB2:BD4 BF2:BH4 BJ2:BL4 BN2">
    <cfRule type="containsBlanks" dxfId="4" priority="1">
      <formula>LEN(TRIM(B2))=0</formula>
    </cfRule>
  </conditionalFormatting>
  <drawing r:id="rId1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6.0" ySplit="1.0" topLeftCell="G2" activePane="bottomRight" state="frozen"/>
      <selection activeCell="G1" sqref="G1" pane="topRight"/>
      <selection activeCell="A2" sqref="A2" pane="bottomLeft"/>
      <selection activeCell="G2" sqref="G2" pane="bottomRight"/>
    </sheetView>
  </sheetViews>
  <sheetFormatPr customHeight="1" defaultColWidth="12.63" defaultRowHeight="15.75"/>
  <cols>
    <col customWidth="1" min="1" max="1" width="2.63"/>
    <col customWidth="1" min="2" max="2" width="2.38"/>
    <col customWidth="1" min="3" max="3" width="3.88"/>
    <col customWidth="1" min="4" max="4" width="2.63"/>
    <col customWidth="1" min="5" max="5" width="13.75"/>
    <col customWidth="1" min="6" max="6" width="5.75"/>
    <col customWidth="1" min="7" max="7" width="12.75"/>
    <col customWidth="1" min="8" max="8" width="31.0"/>
    <col customWidth="1" min="9" max="9" width="10.38"/>
    <col customWidth="1" min="10" max="10" width="24.75"/>
    <col customWidth="1" min="11" max="11" width="9.75"/>
    <col customWidth="1" min="12" max="12" width="18.38"/>
    <col customWidth="1" min="13" max="14" width="2.63"/>
    <col customWidth="1" min="15" max="15" width="13.0"/>
    <col customWidth="1" min="16" max="16" width="12.63"/>
  </cols>
  <sheetData>
    <row r="1">
      <c r="A1" s="1" t="s">
        <v>0</v>
      </c>
      <c r="B1" s="1" t="s">
        <v>1</v>
      </c>
      <c r="C1" s="1" t="s">
        <v>2</v>
      </c>
      <c r="D1" s="2"/>
      <c r="E1" s="3" t="s">
        <v>3</v>
      </c>
      <c r="F1" s="2"/>
      <c r="G1" s="3" t="s">
        <v>4</v>
      </c>
      <c r="H1" s="3" t="s">
        <v>5</v>
      </c>
      <c r="I1" s="1" t="s">
        <v>2</v>
      </c>
      <c r="J1" s="3" t="s">
        <v>6</v>
      </c>
      <c r="K1" s="3" t="s">
        <v>2</v>
      </c>
      <c r="L1" s="3" t="s">
        <v>7</v>
      </c>
      <c r="M1" s="4" t="s">
        <v>8</v>
      </c>
      <c r="O1" s="5" t="s">
        <v>9</v>
      </c>
      <c r="P1" s="6" t="s">
        <v>10</v>
      </c>
      <c r="Q1" s="3" t="s">
        <v>11</v>
      </c>
      <c r="R1" s="7"/>
      <c r="S1" s="7"/>
      <c r="T1" s="7"/>
      <c r="U1" s="7"/>
      <c r="V1" s="7"/>
      <c r="W1" s="7"/>
      <c r="X1" s="7"/>
      <c r="Y1" s="7"/>
      <c r="Z1" s="7"/>
      <c r="AA1" s="7"/>
      <c r="AB1" s="7"/>
      <c r="AC1" s="7"/>
      <c r="AD1" s="7"/>
    </row>
    <row r="2">
      <c r="A2" s="3" t="b">
        <v>0</v>
      </c>
      <c r="B2" s="25" t="b">
        <v>0</v>
      </c>
      <c r="C2" s="10" t="s">
        <v>12</v>
      </c>
      <c r="D2" s="2"/>
      <c r="E2" s="11" t="s">
        <v>13</v>
      </c>
      <c r="F2" s="2"/>
      <c r="G2" s="11" t="s">
        <v>14</v>
      </c>
      <c r="H2" s="11" t="s">
        <v>583</v>
      </c>
      <c r="I2" s="10" t="s">
        <v>584</v>
      </c>
      <c r="J2" s="54"/>
      <c r="K2" s="55"/>
      <c r="L2" s="11" t="s">
        <v>396</v>
      </c>
      <c r="M2" s="2" t="str">
        <f>image("https://www.serebii.net/card/stellarcrown/143.jpg")</f>
        <v/>
      </c>
      <c r="N2" s="2"/>
      <c r="O2" s="13"/>
      <c r="P2" s="13"/>
      <c r="Q2" s="17"/>
      <c r="R2" s="15"/>
      <c r="S2" s="15"/>
      <c r="T2" s="15"/>
      <c r="U2" s="15"/>
      <c r="V2" s="15"/>
      <c r="W2" s="15"/>
      <c r="X2" s="15"/>
      <c r="Y2" s="15"/>
      <c r="Z2" s="15"/>
      <c r="AA2" s="15"/>
      <c r="AB2" s="15"/>
      <c r="AC2" s="15"/>
      <c r="AD2" s="15"/>
    </row>
    <row r="3">
      <c r="A3" s="25" t="b">
        <v>0</v>
      </c>
      <c r="B3" s="25" t="b">
        <v>0</v>
      </c>
      <c r="C3" s="10" t="s">
        <v>26</v>
      </c>
      <c r="D3" s="2"/>
      <c r="E3" s="11" t="s">
        <v>27</v>
      </c>
      <c r="F3" s="2"/>
      <c r="G3" s="11" t="s">
        <v>14</v>
      </c>
      <c r="H3" s="11" t="s">
        <v>487</v>
      </c>
      <c r="I3" s="10" t="s">
        <v>585</v>
      </c>
      <c r="J3" s="11" t="s">
        <v>17</v>
      </c>
      <c r="K3" s="10" t="s">
        <v>585</v>
      </c>
      <c r="L3" s="11" t="s">
        <v>586</v>
      </c>
      <c r="M3" s="56" t="str">
        <f>hyperlink("https://pkmncards.com/card/charmander-scarlet-violet-promos-svp-044/", IMAGE("https://i0.wp.com/pkmncards.com/wp-content/uploads/svbsp_en_044.jpg?fit=733%2C1024&amp;ssl=1"))</f>
        <v/>
      </c>
      <c r="N3" s="2"/>
      <c r="O3" s="6"/>
      <c r="P3" s="13"/>
      <c r="Q3" s="17"/>
      <c r="R3" s="15"/>
      <c r="S3" s="15"/>
      <c r="T3" s="15"/>
      <c r="U3" s="15"/>
      <c r="V3" s="15"/>
      <c r="W3" s="15"/>
      <c r="X3" s="15"/>
      <c r="Y3" s="15"/>
      <c r="Z3" s="15"/>
      <c r="AA3" s="15"/>
      <c r="AB3" s="15"/>
      <c r="AC3" s="15"/>
      <c r="AD3" s="15"/>
    </row>
    <row r="4">
      <c r="A4" s="3" t="b">
        <v>0</v>
      </c>
      <c r="B4" s="3" t="b">
        <v>0</v>
      </c>
      <c r="C4" s="10" t="s">
        <v>33</v>
      </c>
      <c r="D4" s="2"/>
      <c r="E4" s="11" t="s">
        <v>34</v>
      </c>
      <c r="F4" s="11" t="s">
        <v>60</v>
      </c>
      <c r="G4" s="11" t="s">
        <v>14</v>
      </c>
      <c r="H4" s="11" t="s">
        <v>487</v>
      </c>
      <c r="I4" s="10" t="s">
        <v>587</v>
      </c>
      <c r="J4" s="11" t="s">
        <v>17</v>
      </c>
      <c r="K4" s="10" t="s">
        <v>587</v>
      </c>
      <c r="L4" s="11" t="s">
        <v>186</v>
      </c>
      <c r="M4" s="56" t="str">
        <f>hyperlink("https://i0.wp.com/pkmncards.com/wp-content/uploads/en_US-Promo_SWSH-SWSH260-charizard_v.jpeg?fit=734%2C1024&amp;ssl=1",IMAGE("https://i0.wp.com/pkmncards.com/wp-content/uploads/en_US-Promo_SWSH-SWSH260-charizard_v.jpeg?fit=734%2C1024&amp;ssl=1"))</f>
        <v/>
      </c>
      <c r="N4" s="2"/>
      <c r="O4" s="13"/>
      <c r="P4" s="13"/>
      <c r="Q4" s="17"/>
      <c r="R4" s="15"/>
      <c r="S4" s="15"/>
      <c r="T4" s="15"/>
      <c r="U4" s="15"/>
      <c r="V4" s="15"/>
      <c r="W4" s="15"/>
      <c r="X4" s="15"/>
      <c r="Y4" s="15"/>
      <c r="Z4" s="15"/>
      <c r="AA4" s="15"/>
      <c r="AB4" s="15"/>
      <c r="AC4" s="15"/>
      <c r="AD4" s="15"/>
    </row>
    <row r="5">
      <c r="A5" s="3" t="b">
        <v>0</v>
      </c>
      <c r="B5" s="3" t="b">
        <v>0</v>
      </c>
      <c r="C5" s="10" t="s">
        <v>33</v>
      </c>
      <c r="D5" s="2"/>
      <c r="E5" s="11" t="s">
        <v>34</v>
      </c>
      <c r="F5" s="11" t="s">
        <v>60</v>
      </c>
      <c r="G5" s="11" t="s">
        <v>14</v>
      </c>
      <c r="H5" s="11" t="s">
        <v>588</v>
      </c>
      <c r="I5" s="10" t="s">
        <v>589</v>
      </c>
      <c r="J5" s="11" t="s">
        <v>17</v>
      </c>
      <c r="K5" s="10" t="s">
        <v>589</v>
      </c>
      <c r="L5" s="11" t="s">
        <v>590</v>
      </c>
      <c r="M5" s="2"/>
      <c r="N5" s="2"/>
      <c r="O5" s="13"/>
      <c r="P5" s="13"/>
      <c r="Q5" s="17"/>
      <c r="R5" s="15"/>
      <c r="S5" s="15"/>
      <c r="T5" s="15"/>
      <c r="U5" s="15"/>
      <c r="V5" s="15"/>
      <c r="W5" s="15"/>
      <c r="X5" s="15"/>
      <c r="Y5" s="15"/>
      <c r="Z5" s="15"/>
      <c r="AA5" s="15"/>
      <c r="AB5" s="15"/>
      <c r="AC5" s="15"/>
      <c r="AD5" s="15"/>
    </row>
    <row r="6">
      <c r="A6" s="3" t="b">
        <v>0</v>
      </c>
      <c r="B6" s="3" t="b">
        <v>0</v>
      </c>
      <c r="C6" s="10" t="s">
        <v>33</v>
      </c>
      <c r="D6" s="2"/>
      <c r="E6" s="11" t="s">
        <v>34</v>
      </c>
      <c r="F6" s="11" t="s">
        <v>24</v>
      </c>
      <c r="G6" s="11" t="s">
        <v>14</v>
      </c>
      <c r="H6" s="11" t="s">
        <v>591</v>
      </c>
      <c r="I6" s="10" t="s">
        <v>592</v>
      </c>
      <c r="J6" s="11" t="s">
        <v>17</v>
      </c>
      <c r="K6" s="10" t="s">
        <v>592</v>
      </c>
      <c r="L6" s="11" t="s">
        <v>539</v>
      </c>
      <c r="M6" s="2"/>
      <c r="N6" s="2"/>
      <c r="O6" s="13"/>
      <c r="P6" s="13"/>
      <c r="Q6" s="17"/>
      <c r="R6" s="15"/>
      <c r="S6" s="15"/>
      <c r="T6" s="15"/>
      <c r="U6" s="15"/>
      <c r="V6" s="15"/>
      <c r="W6" s="15"/>
      <c r="X6" s="15"/>
      <c r="Y6" s="15"/>
      <c r="Z6" s="15"/>
      <c r="AA6" s="15"/>
      <c r="AB6" s="15"/>
      <c r="AC6" s="15"/>
      <c r="AD6" s="15"/>
    </row>
    <row r="7">
      <c r="A7" s="3" t="b">
        <v>0</v>
      </c>
      <c r="B7" s="3" t="b">
        <v>0</v>
      </c>
      <c r="C7" s="10" t="s">
        <v>33</v>
      </c>
      <c r="D7" s="2"/>
      <c r="E7" s="11" t="s">
        <v>34</v>
      </c>
      <c r="F7" s="11" t="s">
        <v>593</v>
      </c>
      <c r="G7" s="11" t="s">
        <v>593</v>
      </c>
      <c r="H7" s="11" t="s">
        <v>487</v>
      </c>
      <c r="I7" s="10" t="s">
        <v>594</v>
      </c>
      <c r="J7" s="11" t="s">
        <v>17</v>
      </c>
      <c r="K7" s="10" t="s">
        <v>594</v>
      </c>
      <c r="L7" s="11" t="s">
        <v>534</v>
      </c>
      <c r="M7" s="2"/>
      <c r="N7" s="2"/>
      <c r="O7" s="13"/>
      <c r="P7" s="13"/>
      <c r="Q7" s="17"/>
      <c r="R7" s="15"/>
      <c r="S7" s="15"/>
      <c r="T7" s="15"/>
      <c r="U7" s="15"/>
      <c r="V7" s="15"/>
      <c r="W7" s="15"/>
      <c r="X7" s="15"/>
      <c r="Y7" s="15"/>
      <c r="Z7" s="15"/>
      <c r="AA7" s="15"/>
      <c r="AB7" s="15"/>
      <c r="AC7" s="15"/>
      <c r="AD7" s="15"/>
    </row>
    <row r="8">
      <c r="A8" s="3" t="b">
        <v>0</v>
      </c>
      <c r="B8" s="3" t="b">
        <v>0</v>
      </c>
      <c r="C8" s="10" t="s">
        <v>33</v>
      </c>
      <c r="D8" s="2"/>
      <c r="E8" s="11" t="s">
        <v>34</v>
      </c>
      <c r="F8" s="11" t="s">
        <v>595</v>
      </c>
      <c r="G8" s="11" t="s">
        <v>14</v>
      </c>
      <c r="H8" s="11" t="s">
        <v>487</v>
      </c>
      <c r="I8" s="10" t="s">
        <v>596</v>
      </c>
      <c r="J8" s="11" t="s">
        <v>17</v>
      </c>
      <c r="K8" s="10" t="s">
        <v>596</v>
      </c>
      <c r="L8" s="11" t="s">
        <v>597</v>
      </c>
      <c r="M8" s="2"/>
      <c r="N8" s="2"/>
      <c r="O8" s="13"/>
      <c r="P8" s="13"/>
      <c r="Q8" s="17"/>
      <c r="R8" s="15"/>
      <c r="S8" s="15"/>
      <c r="T8" s="15"/>
      <c r="U8" s="15"/>
      <c r="V8" s="15"/>
      <c r="W8" s="15"/>
      <c r="X8" s="15"/>
      <c r="Y8" s="15"/>
      <c r="Z8" s="15"/>
      <c r="AA8" s="15"/>
      <c r="AB8" s="15"/>
      <c r="AC8" s="15"/>
      <c r="AD8" s="15"/>
    </row>
    <row r="9">
      <c r="A9" s="3" t="b">
        <v>0</v>
      </c>
      <c r="B9" s="3" t="b">
        <v>0</v>
      </c>
      <c r="C9" s="10" t="s">
        <v>33</v>
      </c>
      <c r="D9" s="2"/>
      <c r="E9" s="11" t="s">
        <v>34</v>
      </c>
      <c r="F9" s="11" t="s">
        <v>24</v>
      </c>
      <c r="G9" s="11" t="s">
        <v>14</v>
      </c>
      <c r="H9" s="11" t="s">
        <v>68</v>
      </c>
      <c r="I9" s="10" t="s">
        <v>598</v>
      </c>
      <c r="J9" s="11" t="s">
        <v>17</v>
      </c>
      <c r="K9" s="10" t="s">
        <v>598</v>
      </c>
      <c r="L9" s="11" t="s">
        <v>539</v>
      </c>
      <c r="M9" s="2"/>
      <c r="N9" s="2"/>
      <c r="O9" s="13"/>
      <c r="P9" s="13"/>
      <c r="Q9" s="17"/>
      <c r="R9" s="15"/>
      <c r="S9" s="15"/>
      <c r="T9" s="15"/>
      <c r="U9" s="15"/>
      <c r="V9" s="15"/>
      <c r="W9" s="15"/>
      <c r="X9" s="15"/>
      <c r="Y9" s="15"/>
      <c r="Z9" s="15"/>
      <c r="AA9" s="15"/>
      <c r="AB9" s="15"/>
      <c r="AC9" s="15"/>
      <c r="AD9" s="15"/>
    </row>
    <row r="10">
      <c r="A10" s="3" t="b">
        <v>0</v>
      </c>
      <c r="B10" s="3" t="b">
        <v>0</v>
      </c>
      <c r="C10" s="10" t="s">
        <v>33</v>
      </c>
      <c r="D10" s="2"/>
      <c r="E10" s="11" t="s">
        <v>34</v>
      </c>
      <c r="F10" s="2"/>
      <c r="G10" s="11" t="s">
        <v>14</v>
      </c>
      <c r="H10" s="11" t="s">
        <v>182</v>
      </c>
      <c r="I10" s="10" t="s">
        <v>599</v>
      </c>
      <c r="J10" s="11" t="s">
        <v>17</v>
      </c>
      <c r="K10" s="10" t="s">
        <v>599</v>
      </c>
      <c r="L10" s="11" t="s">
        <v>157</v>
      </c>
      <c r="M10" s="2"/>
      <c r="N10" s="2"/>
      <c r="O10" s="13"/>
      <c r="P10" s="13"/>
      <c r="Q10" s="17"/>
      <c r="R10" s="15"/>
      <c r="S10" s="15"/>
      <c r="T10" s="15"/>
      <c r="U10" s="15"/>
      <c r="V10" s="15"/>
      <c r="W10" s="15"/>
      <c r="X10" s="15"/>
      <c r="Y10" s="15"/>
      <c r="Z10" s="15"/>
      <c r="AA10" s="15"/>
      <c r="AB10" s="15"/>
      <c r="AC10" s="15"/>
      <c r="AD10" s="15"/>
    </row>
    <row r="11">
      <c r="A11" s="3" t="b">
        <v>0</v>
      </c>
      <c r="B11" s="3" t="b">
        <v>0</v>
      </c>
      <c r="C11" s="10" t="s">
        <v>36</v>
      </c>
      <c r="D11" s="2"/>
      <c r="E11" s="11" t="s">
        <v>37</v>
      </c>
      <c r="F11" s="2"/>
      <c r="G11" s="11" t="s">
        <v>14</v>
      </c>
      <c r="H11" s="11" t="s">
        <v>583</v>
      </c>
      <c r="I11" s="10" t="s">
        <v>600</v>
      </c>
      <c r="J11" s="54"/>
      <c r="K11" s="55"/>
      <c r="L11" s="11" t="s">
        <v>601</v>
      </c>
      <c r="M11" s="2" t="str">
        <f>image("https://www.serebii.net/card/stellarcrown/148.jpg")</f>
        <v/>
      </c>
      <c r="N11" s="2"/>
      <c r="O11" s="13"/>
      <c r="P11" s="13"/>
      <c r="Q11" s="17"/>
      <c r="R11" s="15"/>
      <c r="S11" s="15"/>
      <c r="T11" s="15"/>
      <c r="U11" s="15"/>
      <c r="V11" s="15"/>
      <c r="W11" s="15"/>
      <c r="X11" s="15"/>
      <c r="Y11" s="15"/>
      <c r="Z11" s="15"/>
      <c r="AA11" s="15"/>
      <c r="AB11" s="15"/>
      <c r="AC11" s="15"/>
      <c r="AD11" s="15"/>
    </row>
    <row r="12">
      <c r="A12" s="3" t="b">
        <v>0</v>
      </c>
      <c r="B12" s="3" t="b">
        <v>0</v>
      </c>
      <c r="C12" s="10" t="s">
        <v>93</v>
      </c>
      <c r="D12" s="2"/>
      <c r="E12" s="11" t="s">
        <v>94</v>
      </c>
      <c r="F12" s="17"/>
      <c r="G12" s="11" t="s">
        <v>14</v>
      </c>
      <c r="H12" s="11" t="s">
        <v>602</v>
      </c>
      <c r="I12" s="10" t="s">
        <v>603</v>
      </c>
      <c r="J12" s="11" t="s">
        <v>602</v>
      </c>
      <c r="K12" s="11" t="s">
        <v>604</v>
      </c>
      <c r="L12" s="11" t="s">
        <v>605</v>
      </c>
      <c r="M12" s="56" t="str">
        <f>hyperlink("https://pkmncards.com/card/fearow-xy-promos-xyp-xy57/",image("https://i0.wp.com/pkmncards.com/wp-content/uploads/en_US-Promo_XY-XY57-fearow.jpg?fit=734%2C1024&amp;ssl=1"))</f>
        <v/>
      </c>
      <c r="N12" s="56" t="str">
        <f>HYPERLINK("https://www.serebii.net/card/xypromo/115.shtml", IMAGE("https://www.serebii.net/card/xypromo/115.jpg"))</f>
        <v/>
      </c>
      <c r="O12" s="13"/>
      <c r="P12" s="13"/>
      <c r="Q12" s="17"/>
      <c r="R12" s="15"/>
      <c r="S12" s="15"/>
      <c r="T12" s="15"/>
      <c r="U12" s="15"/>
      <c r="V12" s="15"/>
      <c r="W12" s="15"/>
      <c r="X12" s="15"/>
      <c r="Y12" s="15"/>
      <c r="Z12" s="15"/>
      <c r="AA12" s="15"/>
      <c r="AB12" s="15"/>
      <c r="AC12" s="15"/>
      <c r="AD12" s="15"/>
    </row>
    <row r="13">
      <c r="A13" s="3" t="b">
        <v>0</v>
      </c>
      <c r="B13" s="3" t="b">
        <v>0</v>
      </c>
      <c r="C13" s="10" t="s">
        <v>104</v>
      </c>
      <c r="D13" s="2"/>
      <c r="E13" s="11" t="s">
        <v>105</v>
      </c>
      <c r="F13" s="2"/>
      <c r="G13" s="11" t="s">
        <v>14</v>
      </c>
      <c r="H13" s="11" t="s">
        <v>182</v>
      </c>
      <c r="I13" s="10" t="s">
        <v>606</v>
      </c>
      <c r="J13" s="2"/>
      <c r="K13" s="2"/>
      <c r="L13" s="11" t="s">
        <v>551</v>
      </c>
      <c r="M13" s="2"/>
      <c r="N13" s="2"/>
      <c r="O13" s="13"/>
      <c r="P13" s="13"/>
      <c r="Q13" s="17"/>
      <c r="R13" s="15"/>
      <c r="S13" s="15"/>
      <c r="T13" s="15"/>
      <c r="U13" s="15"/>
      <c r="V13" s="15"/>
      <c r="W13" s="15"/>
      <c r="X13" s="15"/>
      <c r="Y13" s="15"/>
      <c r="Z13" s="15"/>
      <c r="AA13" s="15"/>
      <c r="AB13" s="15"/>
      <c r="AC13" s="15"/>
      <c r="AD13" s="15"/>
    </row>
    <row r="14">
      <c r="A14" s="3" t="b">
        <v>0</v>
      </c>
      <c r="B14" s="3" t="b">
        <v>0</v>
      </c>
      <c r="C14" s="10" t="s">
        <v>104</v>
      </c>
      <c r="D14" s="2"/>
      <c r="E14" s="11" t="s">
        <v>105</v>
      </c>
      <c r="F14" s="2"/>
      <c r="G14" s="11" t="s">
        <v>14</v>
      </c>
      <c r="H14" s="11" t="s">
        <v>175</v>
      </c>
      <c r="I14" s="10" t="s">
        <v>607</v>
      </c>
      <c r="J14" s="2"/>
      <c r="K14" s="2"/>
      <c r="L14" s="11" t="s">
        <v>179</v>
      </c>
      <c r="M14" s="2"/>
      <c r="N14" s="2"/>
      <c r="O14" s="13"/>
      <c r="P14" s="13"/>
      <c r="Q14" s="17"/>
      <c r="R14" s="15"/>
      <c r="S14" s="15"/>
      <c r="T14" s="15"/>
      <c r="U14" s="15"/>
      <c r="V14" s="15"/>
      <c r="W14" s="15"/>
      <c r="X14" s="15"/>
      <c r="Y14" s="15"/>
      <c r="Z14" s="15"/>
      <c r="AA14" s="15"/>
      <c r="AB14" s="15"/>
      <c r="AC14" s="15"/>
      <c r="AD14" s="15"/>
    </row>
    <row r="15">
      <c r="A15" s="3" t="b">
        <v>0</v>
      </c>
      <c r="B15" s="3" t="b">
        <v>0</v>
      </c>
      <c r="C15" s="10" t="s">
        <v>104</v>
      </c>
      <c r="D15" s="2"/>
      <c r="E15" s="11" t="s">
        <v>105</v>
      </c>
      <c r="F15" s="2"/>
      <c r="G15" s="11" t="s">
        <v>14</v>
      </c>
      <c r="H15" s="11" t="s">
        <v>153</v>
      </c>
      <c r="I15" s="10" t="s">
        <v>608</v>
      </c>
      <c r="J15" s="2"/>
      <c r="K15" s="2"/>
      <c r="L15" s="11" t="s">
        <v>551</v>
      </c>
      <c r="M15" s="2"/>
      <c r="N15" s="2"/>
      <c r="O15" s="13"/>
      <c r="P15" s="13"/>
      <c r="Q15" s="17"/>
      <c r="R15" s="15"/>
      <c r="S15" s="15"/>
      <c r="T15" s="15"/>
      <c r="U15" s="15"/>
      <c r="V15" s="15"/>
      <c r="W15" s="15"/>
      <c r="X15" s="15"/>
      <c r="Y15" s="15"/>
      <c r="Z15" s="15"/>
      <c r="AA15" s="15"/>
      <c r="AB15" s="15"/>
      <c r="AC15" s="15"/>
      <c r="AD15" s="15"/>
    </row>
    <row r="16">
      <c r="A16" s="3" t="b">
        <v>0</v>
      </c>
      <c r="B16" s="3" t="b">
        <v>0</v>
      </c>
      <c r="C16" s="10" t="s">
        <v>104</v>
      </c>
      <c r="D16" s="2"/>
      <c r="E16" s="11" t="s">
        <v>105</v>
      </c>
      <c r="F16" s="2"/>
      <c r="G16" s="11" t="s">
        <v>14</v>
      </c>
      <c r="H16" s="11" t="s">
        <v>175</v>
      </c>
      <c r="I16" s="10" t="s">
        <v>609</v>
      </c>
      <c r="J16" s="2"/>
      <c r="K16" s="2"/>
      <c r="L16" s="11" t="s">
        <v>198</v>
      </c>
      <c r="M16" s="2"/>
      <c r="N16" s="2"/>
      <c r="O16" s="13"/>
      <c r="P16" s="13"/>
      <c r="Q16" s="17"/>
      <c r="R16" s="15"/>
      <c r="S16" s="15"/>
      <c r="T16" s="15"/>
      <c r="U16" s="15"/>
      <c r="V16" s="15"/>
      <c r="W16" s="15"/>
      <c r="X16" s="15"/>
      <c r="Y16" s="15"/>
      <c r="Z16" s="15"/>
      <c r="AA16" s="15"/>
      <c r="AB16" s="15"/>
      <c r="AC16" s="15"/>
      <c r="AD16" s="15"/>
    </row>
    <row r="17">
      <c r="A17" s="3" t="b">
        <v>0</v>
      </c>
      <c r="B17" s="3" t="b">
        <v>0</v>
      </c>
      <c r="C17" s="10" t="s">
        <v>104</v>
      </c>
      <c r="D17" s="2"/>
      <c r="E17" s="11" t="s">
        <v>105</v>
      </c>
      <c r="F17" s="2"/>
      <c r="G17" s="11" t="s">
        <v>14</v>
      </c>
      <c r="H17" s="11" t="s">
        <v>153</v>
      </c>
      <c r="I17" s="10" t="s">
        <v>610</v>
      </c>
      <c r="J17" s="2"/>
      <c r="K17" s="2"/>
      <c r="L17" s="11" t="s">
        <v>611</v>
      </c>
      <c r="M17" s="2"/>
      <c r="N17" s="2"/>
      <c r="O17" s="13"/>
      <c r="P17" s="13"/>
      <c r="Q17" s="17"/>
      <c r="R17" s="15"/>
      <c r="S17" s="15"/>
      <c r="T17" s="15"/>
      <c r="U17" s="15"/>
      <c r="V17" s="15"/>
      <c r="W17" s="15"/>
      <c r="X17" s="15"/>
      <c r="Y17" s="15"/>
      <c r="Z17" s="15"/>
      <c r="AA17" s="15"/>
      <c r="AB17" s="15"/>
      <c r="AC17" s="15"/>
      <c r="AD17" s="15"/>
    </row>
    <row r="18">
      <c r="A18" s="3" t="b">
        <v>0</v>
      </c>
      <c r="B18" s="3" t="b">
        <v>0</v>
      </c>
      <c r="C18" s="10" t="s">
        <v>104</v>
      </c>
      <c r="D18" s="2"/>
      <c r="E18" s="11" t="s">
        <v>105</v>
      </c>
      <c r="F18" s="11" t="s">
        <v>612</v>
      </c>
      <c r="G18" s="11" t="s">
        <v>14</v>
      </c>
      <c r="H18" s="11" t="s">
        <v>153</v>
      </c>
      <c r="I18" s="10" t="s">
        <v>613</v>
      </c>
      <c r="J18" s="2"/>
      <c r="K18" s="2"/>
      <c r="L18" s="11" t="s">
        <v>614</v>
      </c>
      <c r="M18" s="2"/>
      <c r="N18" s="2"/>
      <c r="O18" s="13"/>
      <c r="P18" s="13"/>
      <c r="Q18" s="17"/>
      <c r="R18" s="15"/>
      <c r="S18" s="15"/>
      <c r="T18" s="15"/>
      <c r="U18" s="15"/>
      <c r="V18" s="15"/>
      <c r="W18" s="15"/>
      <c r="X18" s="15"/>
      <c r="Y18" s="15"/>
      <c r="Z18" s="15"/>
      <c r="AA18" s="15"/>
      <c r="AB18" s="15"/>
      <c r="AC18" s="15"/>
      <c r="AD18" s="15"/>
    </row>
    <row r="19">
      <c r="A19" s="3" t="b">
        <v>0</v>
      </c>
      <c r="B19" s="3" t="b">
        <v>0</v>
      </c>
      <c r="C19" s="10" t="s">
        <v>104</v>
      </c>
      <c r="D19" s="2"/>
      <c r="E19" s="11" t="s">
        <v>105</v>
      </c>
      <c r="F19" s="2"/>
      <c r="G19" s="11" t="s">
        <v>14</v>
      </c>
      <c r="H19" s="11" t="s">
        <v>487</v>
      </c>
      <c r="I19" s="10" t="s">
        <v>615</v>
      </c>
      <c r="J19" s="2"/>
      <c r="K19" s="2"/>
      <c r="L19" s="11" t="s">
        <v>616</v>
      </c>
      <c r="M19" s="2"/>
      <c r="N19" s="2"/>
      <c r="O19" s="13"/>
      <c r="P19" s="13"/>
      <c r="Q19" s="17"/>
      <c r="R19" s="15"/>
      <c r="S19" s="15"/>
      <c r="T19" s="15"/>
      <c r="U19" s="15"/>
      <c r="V19" s="15"/>
      <c r="W19" s="15"/>
      <c r="X19" s="15"/>
      <c r="Y19" s="15"/>
      <c r="Z19" s="15"/>
      <c r="AA19" s="15"/>
      <c r="AB19" s="15"/>
      <c r="AC19" s="15"/>
      <c r="AD19" s="15"/>
    </row>
    <row r="20">
      <c r="A20" s="3" t="b">
        <v>0</v>
      </c>
      <c r="B20" s="3" t="b">
        <v>0</v>
      </c>
      <c r="C20" s="10" t="s">
        <v>104</v>
      </c>
      <c r="D20" s="2"/>
      <c r="E20" s="11" t="s">
        <v>105</v>
      </c>
      <c r="F20" s="2"/>
      <c r="G20" s="11" t="s">
        <v>14</v>
      </c>
      <c r="H20" s="11" t="s">
        <v>310</v>
      </c>
      <c r="I20" s="10" t="s">
        <v>617</v>
      </c>
      <c r="J20" s="2"/>
      <c r="K20" s="2"/>
      <c r="L20" s="11" t="s">
        <v>618</v>
      </c>
      <c r="M20" s="2"/>
      <c r="N20" s="2"/>
      <c r="O20" s="13"/>
      <c r="P20" s="13"/>
      <c r="Q20" s="17"/>
      <c r="R20" s="15"/>
      <c r="S20" s="15"/>
      <c r="T20" s="15"/>
      <c r="U20" s="15"/>
      <c r="V20" s="15"/>
      <c r="W20" s="15"/>
      <c r="X20" s="15"/>
      <c r="Y20" s="15"/>
      <c r="Z20" s="15"/>
      <c r="AA20" s="15"/>
      <c r="AB20" s="15"/>
      <c r="AC20" s="15"/>
      <c r="AD20" s="15"/>
    </row>
    <row r="21">
      <c r="A21" s="3" t="b">
        <v>0</v>
      </c>
      <c r="B21" s="3" t="b">
        <v>0</v>
      </c>
      <c r="C21" s="10" t="s">
        <v>104</v>
      </c>
      <c r="D21" s="2"/>
      <c r="E21" s="11" t="s">
        <v>105</v>
      </c>
      <c r="F21" s="11" t="s">
        <v>593</v>
      </c>
      <c r="G21" s="11" t="s">
        <v>14</v>
      </c>
      <c r="H21" s="11" t="s">
        <v>182</v>
      </c>
      <c r="I21" s="10" t="s">
        <v>619</v>
      </c>
      <c r="J21" s="2"/>
      <c r="K21" s="2"/>
      <c r="L21" s="11" t="s">
        <v>501</v>
      </c>
      <c r="M21" s="2"/>
      <c r="N21" s="2"/>
      <c r="O21" s="13"/>
      <c r="P21" s="13"/>
      <c r="Q21" s="17"/>
      <c r="R21" s="15"/>
      <c r="S21" s="15"/>
      <c r="T21" s="15"/>
      <c r="U21" s="15"/>
      <c r="V21" s="15"/>
      <c r="W21" s="15"/>
      <c r="X21" s="15"/>
      <c r="Y21" s="15"/>
      <c r="Z21" s="15"/>
      <c r="AA21" s="15"/>
      <c r="AB21" s="15"/>
      <c r="AC21" s="15"/>
      <c r="AD21" s="15"/>
    </row>
    <row r="22">
      <c r="A22" s="3" t="b">
        <v>0</v>
      </c>
      <c r="B22" s="3" t="b">
        <v>0</v>
      </c>
      <c r="C22" s="10" t="s">
        <v>104</v>
      </c>
      <c r="D22" s="2"/>
      <c r="E22" s="11" t="s">
        <v>105</v>
      </c>
      <c r="F22" s="11" t="s">
        <v>24</v>
      </c>
      <c r="G22" s="11" t="s">
        <v>14</v>
      </c>
      <c r="H22" s="11" t="s">
        <v>602</v>
      </c>
      <c r="I22" s="10" t="s">
        <v>620</v>
      </c>
      <c r="J22" s="2"/>
      <c r="K22" s="2"/>
      <c r="L22" s="11" t="s">
        <v>621</v>
      </c>
      <c r="M22" s="2"/>
      <c r="N22" s="2"/>
      <c r="O22" s="13"/>
      <c r="P22" s="13"/>
      <c r="Q22" s="17"/>
      <c r="R22" s="15"/>
      <c r="S22" s="15"/>
      <c r="T22" s="15"/>
      <c r="U22" s="15"/>
      <c r="V22" s="15"/>
      <c r="W22" s="15"/>
      <c r="X22" s="15"/>
      <c r="Y22" s="15"/>
      <c r="Z22" s="15"/>
      <c r="AA22" s="15"/>
      <c r="AB22" s="15"/>
      <c r="AC22" s="15"/>
      <c r="AD22" s="15"/>
    </row>
    <row r="23">
      <c r="A23" s="3" t="b">
        <v>0</v>
      </c>
      <c r="B23" s="3" t="b">
        <v>0</v>
      </c>
      <c r="C23" s="10" t="s">
        <v>104</v>
      </c>
      <c r="D23" s="2"/>
      <c r="E23" s="11" t="s">
        <v>105</v>
      </c>
      <c r="F23" s="2"/>
      <c r="G23" s="11" t="s">
        <v>14</v>
      </c>
      <c r="H23" s="11" t="s">
        <v>182</v>
      </c>
      <c r="I23" s="10" t="s">
        <v>622</v>
      </c>
      <c r="J23" s="2"/>
      <c r="K23" s="2"/>
      <c r="L23" s="11" t="s">
        <v>623</v>
      </c>
      <c r="M23" s="2"/>
      <c r="N23" s="2"/>
      <c r="O23" s="13"/>
      <c r="P23" s="13"/>
      <c r="Q23" s="17"/>
      <c r="R23" s="15"/>
      <c r="S23" s="15"/>
      <c r="T23" s="15"/>
      <c r="U23" s="15"/>
      <c r="V23" s="15"/>
      <c r="W23" s="15"/>
      <c r="X23" s="15"/>
      <c r="Y23" s="15"/>
      <c r="Z23" s="15"/>
      <c r="AA23" s="15"/>
      <c r="AB23" s="15"/>
      <c r="AC23" s="15"/>
      <c r="AD23" s="15"/>
    </row>
    <row r="24">
      <c r="A24" s="3" t="b">
        <v>0</v>
      </c>
      <c r="B24" s="3" t="b">
        <v>0</v>
      </c>
      <c r="C24" s="10" t="s">
        <v>108</v>
      </c>
      <c r="D24" s="2"/>
      <c r="E24" s="11" t="s">
        <v>109</v>
      </c>
      <c r="F24" s="11" t="s">
        <v>377</v>
      </c>
      <c r="G24" s="11" t="s">
        <v>14</v>
      </c>
      <c r="H24" s="24" t="s">
        <v>378</v>
      </c>
      <c r="I24" s="10" t="s">
        <v>624</v>
      </c>
      <c r="J24" s="17"/>
      <c r="K24" s="17"/>
      <c r="L24" s="11" t="s">
        <v>625</v>
      </c>
      <c r="M24" s="2"/>
      <c r="N24" s="2"/>
      <c r="O24" s="13"/>
      <c r="P24" s="13"/>
      <c r="Q24" s="17"/>
      <c r="R24" s="15"/>
      <c r="S24" s="15"/>
      <c r="T24" s="15"/>
      <c r="U24" s="15"/>
      <c r="V24" s="15"/>
      <c r="W24" s="15"/>
      <c r="X24" s="15"/>
      <c r="Y24" s="15"/>
      <c r="Z24" s="15"/>
      <c r="AA24" s="15"/>
      <c r="AB24" s="15"/>
      <c r="AC24" s="15"/>
      <c r="AD24" s="15"/>
    </row>
    <row r="25">
      <c r="A25" s="9" t="b">
        <v>0</v>
      </c>
      <c r="B25" s="9" t="b">
        <v>0</v>
      </c>
      <c r="C25" s="10" t="s">
        <v>129</v>
      </c>
      <c r="D25" s="11" t="s">
        <v>84</v>
      </c>
      <c r="E25" s="11" t="s">
        <v>130</v>
      </c>
      <c r="F25" s="24" t="s">
        <v>24</v>
      </c>
      <c r="G25" s="11" t="s">
        <v>14</v>
      </c>
      <c r="H25" s="11" t="s">
        <v>86</v>
      </c>
      <c r="I25" s="57"/>
      <c r="J25" s="11" t="s">
        <v>88</v>
      </c>
      <c r="K25" s="10" t="s">
        <v>626</v>
      </c>
      <c r="L25" s="11" t="s">
        <v>627</v>
      </c>
      <c r="M25" s="54"/>
      <c r="N25" s="2" t="str">
        <f>image("https://public.getcollectr.com/public-assets/products/product_10028021.jpg?optimizer=image&amp;format=webp&amp;width=800&amp;quality=85&amp;strip=metadata")</f>
        <v/>
      </c>
      <c r="O25" s="13"/>
      <c r="P25" s="13"/>
      <c r="Q25" s="17"/>
      <c r="R25" s="28"/>
      <c r="S25" s="28"/>
      <c r="T25" s="28"/>
      <c r="U25" s="28"/>
      <c r="V25" s="28"/>
      <c r="W25" s="28"/>
      <c r="X25" s="28"/>
      <c r="Y25" s="28"/>
      <c r="Z25" s="28"/>
      <c r="AA25" s="28"/>
      <c r="AB25" s="28"/>
      <c r="AC25" s="28"/>
      <c r="AD25" s="28"/>
    </row>
    <row r="26">
      <c r="A26" s="8" t="b">
        <v>0</v>
      </c>
      <c r="B26" s="9" t="b">
        <v>0</v>
      </c>
      <c r="C26" s="10" t="s">
        <v>199</v>
      </c>
      <c r="D26" s="2"/>
      <c r="E26" s="11" t="s">
        <v>628</v>
      </c>
      <c r="F26" s="2"/>
      <c r="G26" s="11" t="s">
        <v>193</v>
      </c>
      <c r="H26" s="11" t="s">
        <v>591</v>
      </c>
      <c r="I26" s="10" t="s">
        <v>629</v>
      </c>
      <c r="J26" s="11" t="s">
        <v>630</v>
      </c>
      <c r="K26" s="11" t="s">
        <v>631</v>
      </c>
      <c r="L26" s="11" t="s">
        <v>262</v>
      </c>
      <c r="M26" s="56" t="str">
        <f>hyperlink("https://pkmncards.com/card/wugtrio-paldean-fates-paf-224/",image("https://i0.wp.com/pkmncards.com/wp-content/uploads/sv4-5_en_224_std.jpg?fit=733%2C1024&amp;ssl=1"))</f>
        <v/>
      </c>
      <c r="N26" s="56" t="str">
        <f>hyperlink("https://www.serebii.net/card/shinytreasureex/338.shtml", image("https://www.serebii.net/card/shinytreasureex/338.jpg"))</f>
        <v/>
      </c>
      <c r="O26" s="6"/>
      <c r="P26" s="13"/>
      <c r="Q26" s="17"/>
      <c r="R26" s="15"/>
      <c r="S26" s="15"/>
      <c r="T26" s="15"/>
      <c r="U26" s="15"/>
      <c r="V26" s="15"/>
      <c r="W26" s="15"/>
      <c r="X26" s="15"/>
      <c r="Y26" s="15"/>
      <c r="Z26" s="15"/>
      <c r="AA26" s="15"/>
      <c r="AB26" s="15"/>
      <c r="AC26" s="15"/>
      <c r="AD26" s="15"/>
    </row>
    <row r="27">
      <c r="A27" s="9" t="b">
        <v>0</v>
      </c>
      <c r="B27" s="9" t="b">
        <v>0</v>
      </c>
      <c r="C27" s="10" t="s">
        <v>208</v>
      </c>
      <c r="D27" s="2"/>
      <c r="E27" s="11" t="s">
        <v>209</v>
      </c>
      <c r="F27" s="2"/>
      <c r="G27" s="11" t="s">
        <v>14</v>
      </c>
      <c r="H27" s="54"/>
      <c r="I27" s="57"/>
      <c r="J27" s="11" t="s">
        <v>632</v>
      </c>
      <c r="K27" s="11" t="s">
        <v>633</v>
      </c>
      <c r="L27" s="11" t="s">
        <v>634</v>
      </c>
      <c r="M27" s="54"/>
      <c r="N27" s="2" t="str">
        <f>IMAGE("https://preview.redd.it/meowth-and-paldean-wooper-ar-promos-officially-revealed-on-v0-cp3kf5tjgnzd1.jpg?width=1038&amp;format=pjpg&amp;auto=webp&amp;s=9dfe0430584b4e83fd1ecba80bb2db76020fc78a")</f>
        <v/>
      </c>
      <c r="O27" s="13"/>
      <c r="P27" s="13"/>
      <c r="Q27" s="2"/>
      <c r="R27" s="15"/>
      <c r="S27" s="15"/>
      <c r="T27" s="15"/>
      <c r="U27" s="15"/>
      <c r="V27" s="15"/>
      <c r="W27" s="15"/>
      <c r="X27" s="15"/>
      <c r="Y27" s="15"/>
      <c r="Z27" s="15"/>
      <c r="AA27" s="15"/>
      <c r="AB27" s="15"/>
      <c r="AC27" s="15"/>
      <c r="AD27" s="15"/>
    </row>
    <row r="28">
      <c r="A28" s="9" t="b">
        <v>0</v>
      </c>
      <c r="B28" s="9" t="b">
        <v>0</v>
      </c>
      <c r="C28" s="10" t="s">
        <v>220</v>
      </c>
      <c r="D28" s="11" t="s">
        <v>471</v>
      </c>
      <c r="E28" s="11" t="s">
        <v>221</v>
      </c>
      <c r="F28" s="2"/>
      <c r="G28" s="11" t="s">
        <v>14</v>
      </c>
      <c r="H28" s="54"/>
      <c r="I28" s="57"/>
      <c r="J28" s="11" t="s">
        <v>298</v>
      </c>
      <c r="K28" s="10" t="s">
        <v>635</v>
      </c>
      <c r="L28" s="11" t="s">
        <v>440</v>
      </c>
      <c r="M28" s="54"/>
      <c r="N28" s="54"/>
      <c r="O28" s="13"/>
      <c r="P28" s="13"/>
      <c r="Q28" s="17"/>
      <c r="R28" s="15"/>
      <c r="S28" s="15"/>
      <c r="T28" s="15"/>
      <c r="U28" s="15"/>
      <c r="V28" s="15"/>
      <c r="W28" s="15"/>
      <c r="X28" s="15"/>
      <c r="Y28" s="15"/>
      <c r="Z28" s="15"/>
      <c r="AA28" s="15"/>
      <c r="AB28" s="15"/>
      <c r="AC28" s="15"/>
      <c r="AD28" s="15"/>
    </row>
    <row r="29">
      <c r="A29" s="3" t="b">
        <v>0</v>
      </c>
      <c r="B29" s="3" t="b">
        <v>0</v>
      </c>
      <c r="C29" s="10" t="s">
        <v>263</v>
      </c>
      <c r="D29" s="2"/>
      <c r="E29" s="11" t="s">
        <v>264</v>
      </c>
      <c r="F29" s="11" t="s">
        <v>377</v>
      </c>
      <c r="G29" s="11" t="s">
        <v>14</v>
      </c>
      <c r="H29" s="11" t="s">
        <v>636</v>
      </c>
      <c r="I29" s="10" t="s">
        <v>637</v>
      </c>
      <c r="J29" s="2"/>
      <c r="K29" s="2"/>
      <c r="L29" s="11" t="s">
        <v>638</v>
      </c>
      <c r="M29" s="2"/>
      <c r="N29" s="2"/>
      <c r="O29" s="13"/>
      <c r="P29" s="13"/>
      <c r="Q29" s="17"/>
      <c r="R29" s="15"/>
      <c r="S29" s="15"/>
      <c r="T29" s="15"/>
      <c r="U29" s="15"/>
      <c r="V29" s="15"/>
      <c r="W29" s="15"/>
      <c r="X29" s="15"/>
      <c r="Y29" s="15"/>
      <c r="Z29" s="15"/>
      <c r="AA29" s="15"/>
      <c r="AB29" s="15"/>
      <c r="AC29" s="15"/>
      <c r="AD29" s="15"/>
    </row>
    <row r="30">
      <c r="A30" s="8" t="b">
        <v>0</v>
      </c>
      <c r="B30" s="9" t="b">
        <v>0</v>
      </c>
      <c r="C30" s="10" t="s">
        <v>315</v>
      </c>
      <c r="D30" s="2"/>
      <c r="E30" s="11" t="s">
        <v>639</v>
      </c>
      <c r="F30" s="11" t="s">
        <v>24</v>
      </c>
      <c r="G30" s="11" t="s">
        <v>152</v>
      </c>
      <c r="H30" s="11" t="s">
        <v>282</v>
      </c>
      <c r="I30" s="10" t="s">
        <v>640</v>
      </c>
      <c r="J30" s="11" t="s">
        <v>155</v>
      </c>
      <c r="K30" s="11" t="s">
        <v>641</v>
      </c>
      <c r="L30" s="11" t="s">
        <v>305</v>
      </c>
      <c r="M30" s="56" t="str">
        <f>hyperlink("https://pkmncards.com/card/sandy-shocks-ex-paradox-rift-par-250/",image("https://i0.wp.com/pkmncards.com/wp-content/uploads/sv4_en_250_std.jpg?fit=733%2C1024&amp;ssl=1"))</f>
        <v/>
      </c>
      <c r="N30" s="56" t="str">
        <f>hyperlink("https://www.serebii.net/card/ancientroar/089.shtml", image("https://www.serebii.net/card/ancientroar/89.jpg"))</f>
        <v/>
      </c>
      <c r="O30" s="6"/>
      <c r="P30" s="13"/>
      <c r="Q30" s="17"/>
      <c r="R30" s="15"/>
      <c r="S30" s="15"/>
      <c r="T30" s="15"/>
      <c r="U30" s="15"/>
      <c r="V30" s="15"/>
      <c r="W30" s="15"/>
      <c r="X30" s="15"/>
      <c r="Y30" s="15"/>
      <c r="Z30" s="15"/>
      <c r="AA30" s="15"/>
      <c r="AB30" s="15"/>
      <c r="AC30" s="15"/>
      <c r="AD30" s="15"/>
    </row>
    <row r="31">
      <c r="A31" s="9" t="b">
        <v>0</v>
      </c>
      <c r="B31" s="9" t="b">
        <v>0</v>
      </c>
      <c r="C31" s="10" t="s">
        <v>295</v>
      </c>
      <c r="D31" s="11" t="s">
        <v>642</v>
      </c>
      <c r="E31" s="11" t="s">
        <v>296</v>
      </c>
      <c r="F31" s="11" t="s">
        <v>60</v>
      </c>
      <c r="G31" s="11" t="s">
        <v>202</v>
      </c>
      <c r="H31" s="11" t="s">
        <v>643</v>
      </c>
      <c r="I31" s="10" t="s">
        <v>644</v>
      </c>
      <c r="J31" s="11" t="s">
        <v>645</v>
      </c>
      <c r="K31" s="11" t="s">
        <v>646</v>
      </c>
      <c r="L31" s="11" t="s">
        <v>647</v>
      </c>
      <c r="M31" s="56" t="str">
        <f>hyperlink("https://pkmncards.com/card/galarian-rapidash-v-chilling-reign-cre-168/",image("https://i0.wp.com/pkmncards.com/wp-content/uploads/en_US-SWSH6-168-galarian_rapidash_v.jpg?fit=734%2C1024&amp;ssl=1"))</f>
        <v/>
      </c>
      <c r="N31" s="2" t="str">
        <f>IMAGE("https://getcollectr-com.b-cdn.net/public-assets/products/product_10005861.png?optimizer=image&amp;format=webp&amp;width=800&amp;quality=85&amp;strip=metadata")</f>
        <v/>
      </c>
      <c r="O31" s="13"/>
      <c r="P31" s="13"/>
      <c r="Q31" s="17"/>
      <c r="R31" s="15"/>
      <c r="S31" s="15"/>
      <c r="T31" s="15"/>
      <c r="U31" s="15"/>
      <c r="V31" s="15"/>
      <c r="W31" s="15"/>
      <c r="X31" s="15"/>
      <c r="Y31" s="15"/>
      <c r="Z31" s="15"/>
      <c r="AA31" s="15"/>
      <c r="AB31" s="15"/>
      <c r="AC31" s="15"/>
      <c r="AD31" s="15"/>
    </row>
    <row r="32">
      <c r="A32" s="3" t="b">
        <v>0</v>
      </c>
      <c r="B32" s="3" t="b">
        <v>0</v>
      </c>
      <c r="C32" s="10" t="s">
        <v>345</v>
      </c>
      <c r="D32" s="2"/>
      <c r="E32" s="11" t="s">
        <v>346</v>
      </c>
      <c r="F32" s="11" t="s">
        <v>593</v>
      </c>
      <c r="G32" s="11" t="s">
        <v>593</v>
      </c>
      <c r="H32" s="11" t="s">
        <v>648</v>
      </c>
      <c r="I32" s="10" t="s">
        <v>649</v>
      </c>
      <c r="J32" s="2"/>
      <c r="K32" s="2"/>
      <c r="L32" s="11" t="s">
        <v>650</v>
      </c>
      <c r="M32" s="56" t="str">
        <f>hyperlink("https://pkmncards.com/card/gengar-vmax-fusion-strike-fst-271/",image("https://i0.wp.com/pkmncards.com/wp-content/uploads/en_US-SWSH8-271-gengar_vmax.jpg?fit=734%2C1024&amp;ssl=1"))</f>
        <v/>
      </c>
      <c r="N32" s="2"/>
      <c r="O32" s="13"/>
      <c r="P32" s="13"/>
      <c r="Q32" s="17"/>
      <c r="R32" s="15"/>
      <c r="S32" s="15"/>
      <c r="T32" s="15"/>
      <c r="U32" s="15"/>
      <c r="V32" s="15"/>
      <c r="W32" s="15"/>
      <c r="X32" s="15"/>
      <c r="Y32" s="15"/>
      <c r="Z32" s="15"/>
      <c r="AA32" s="15"/>
      <c r="AB32" s="15"/>
      <c r="AC32" s="15"/>
      <c r="AD32" s="15"/>
    </row>
    <row r="33">
      <c r="A33" s="3" t="b">
        <v>0</v>
      </c>
      <c r="B33" s="3" t="b">
        <v>0</v>
      </c>
      <c r="C33" s="10" t="s">
        <v>345</v>
      </c>
      <c r="D33" s="2"/>
      <c r="E33" s="11" t="s">
        <v>346</v>
      </c>
      <c r="F33" s="11" t="s">
        <v>377</v>
      </c>
      <c r="G33" s="11" t="s">
        <v>14</v>
      </c>
      <c r="H33" s="11" t="s">
        <v>651</v>
      </c>
      <c r="I33" s="10" t="s">
        <v>652</v>
      </c>
      <c r="J33" s="2"/>
      <c r="K33" s="2"/>
      <c r="L33" s="11" t="s">
        <v>653</v>
      </c>
      <c r="M33" s="56" t="str">
        <f>hyperlink("https://pkmncards.com/card/gengar-mimikyu-gx-team-up-teu-165/",image("https://i0.wp.com/pkmncards.com/wp-content/uploads/en_US-SM9-165-gengar_mimikyu_gx.jpg?fit=734%2C1024&amp;ssl=1"))</f>
        <v/>
      </c>
      <c r="N33" s="2"/>
      <c r="O33" s="13"/>
      <c r="P33" s="13"/>
      <c r="Q33" s="17"/>
      <c r="R33" s="15"/>
      <c r="S33" s="15"/>
      <c r="T33" s="15"/>
      <c r="U33" s="15"/>
      <c r="V33" s="15"/>
      <c r="W33" s="15"/>
      <c r="X33" s="15"/>
      <c r="Y33" s="15"/>
      <c r="Z33" s="15"/>
      <c r="AA33" s="15"/>
      <c r="AB33" s="15"/>
      <c r="AC33" s="15"/>
      <c r="AD33" s="15"/>
    </row>
    <row r="34">
      <c r="A34" s="3" t="b">
        <v>0</v>
      </c>
      <c r="B34" s="3" t="b">
        <v>0</v>
      </c>
      <c r="C34" s="10" t="s">
        <v>464</v>
      </c>
      <c r="D34" s="2"/>
      <c r="E34" s="11" t="s">
        <v>465</v>
      </c>
      <c r="F34" s="11" t="s">
        <v>377</v>
      </c>
      <c r="G34" s="11" t="s">
        <v>14</v>
      </c>
      <c r="H34" s="11" t="s">
        <v>651</v>
      </c>
      <c r="I34" s="10" t="s">
        <v>654</v>
      </c>
      <c r="J34" s="2"/>
      <c r="K34" s="2"/>
      <c r="L34" s="11" t="s">
        <v>655</v>
      </c>
      <c r="M34" s="2"/>
      <c r="N34" s="2"/>
      <c r="O34" s="13"/>
      <c r="P34" s="13"/>
      <c r="Q34" s="17"/>
      <c r="R34" s="15"/>
      <c r="S34" s="15"/>
      <c r="T34" s="15"/>
      <c r="U34" s="15"/>
      <c r="V34" s="15"/>
      <c r="W34" s="15"/>
      <c r="X34" s="15"/>
      <c r="Y34" s="15"/>
      <c r="Z34" s="15"/>
      <c r="AA34" s="15"/>
      <c r="AB34" s="15"/>
      <c r="AC34" s="15"/>
      <c r="AD34" s="15"/>
    </row>
    <row r="35">
      <c r="A35" s="8" t="b">
        <v>0</v>
      </c>
      <c r="B35" s="9" t="b">
        <v>0</v>
      </c>
      <c r="C35" s="10" t="s">
        <v>470</v>
      </c>
      <c r="D35" s="2"/>
      <c r="E35" s="11" t="s">
        <v>472</v>
      </c>
      <c r="F35" s="2"/>
      <c r="G35" s="11" t="s">
        <v>14</v>
      </c>
      <c r="H35" s="11" t="s">
        <v>175</v>
      </c>
      <c r="I35" s="10" t="s">
        <v>656</v>
      </c>
      <c r="J35" s="11" t="s">
        <v>478</v>
      </c>
      <c r="K35" s="11" t="s">
        <v>657</v>
      </c>
      <c r="L35" s="11" t="s">
        <v>658</v>
      </c>
      <c r="M35" s="56" t="str">
        <f>hyperlink("https://pkmncards.com/card/lapras-crown-zenith-crz-gg05/",image("https://i0.wp.com/pkmncards.com/wp-content/uploads/en_US-CZ-GG005-lapras.jpg?fit=734%2C1024&amp;ssl=1"))</f>
        <v/>
      </c>
      <c r="N35" s="56" t="str">
        <f>hyperlink("https://www.serebii.net/card/vstaruniverse/177.shtml", image("https://www.serebii.net/card/vstaruniverse/177.jpg"))</f>
        <v/>
      </c>
      <c r="O35" s="6"/>
      <c r="P35" s="13"/>
      <c r="Q35" s="17"/>
      <c r="R35" s="15"/>
      <c r="S35" s="15"/>
      <c r="T35" s="15"/>
      <c r="U35" s="15"/>
      <c r="V35" s="15"/>
      <c r="W35" s="15"/>
      <c r="X35" s="15"/>
      <c r="Y35" s="15"/>
      <c r="Z35" s="15"/>
      <c r="AA35" s="15"/>
      <c r="AB35" s="15"/>
      <c r="AC35" s="15"/>
      <c r="AD35" s="15"/>
    </row>
    <row r="36">
      <c r="A36" s="9" t="b">
        <v>0</v>
      </c>
      <c r="B36" s="9" t="b">
        <v>0</v>
      </c>
      <c r="C36" s="10" t="s">
        <v>481</v>
      </c>
      <c r="D36" s="2"/>
      <c r="E36" s="11" t="s">
        <v>482</v>
      </c>
      <c r="F36" s="2"/>
      <c r="G36" s="11" t="s">
        <v>14</v>
      </c>
      <c r="H36" s="11" t="s">
        <v>232</v>
      </c>
      <c r="I36" s="10" t="s">
        <v>659</v>
      </c>
      <c r="J36" s="11" t="s">
        <v>234</v>
      </c>
      <c r="K36" s="11" t="s">
        <v>660</v>
      </c>
      <c r="L36" s="11" t="s">
        <v>65</v>
      </c>
      <c r="M36" s="56" t="str">
        <f>hyperlink("https://pkmncards.com/card/eevee-twilight-masquerade-twm-188/", image("https://pkmncards.com/wp-content/uploads/sv6_en_188_std.jpg"))</f>
        <v/>
      </c>
      <c r="N36" s="56" t="str">
        <f>hyperlink("https://www.serebii.net/card/crimsonhaze/078.shtml", image("https://www.serebii.net/card/crimsonhaze/78.jpg"))</f>
        <v/>
      </c>
      <c r="O36" s="13"/>
      <c r="P36" s="13"/>
      <c r="Q36" s="17"/>
      <c r="R36" s="15"/>
      <c r="S36" s="15"/>
      <c r="T36" s="15"/>
      <c r="U36" s="15"/>
      <c r="V36" s="15"/>
      <c r="W36" s="15"/>
      <c r="X36" s="15"/>
      <c r="Y36" s="15"/>
      <c r="Z36" s="15"/>
      <c r="AA36" s="15"/>
      <c r="AB36" s="15"/>
      <c r="AC36" s="15"/>
      <c r="AD36" s="15"/>
    </row>
    <row r="37">
      <c r="A37" s="3" t="b">
        <v>0</v>
      </c>
      <c r="B37" s="3" t="b">
        <v>0</v>
      </c>
      <c r="C37" s="10" t="s">
        <v>481</v>
      </c>
      <c r="D37" s="2"/>
      <c r="E37" s="11" t="s">
        <v>482</v>
      </c>
      <c r="F37" s="2"/>
      <c r="G37" s="11" t="s">
        <v>14</v>
      </c>
      <c r="H37" s="11" t="s">
        <v>588</v>
      </c>
      <c r="I37" s="10" t="s">
        <v>661</v>
      </c>
      <c r="J37" s="2"/>
      <c r="K37" s="2"/>
      <c r="L37" s="11" t="s">
        <v>501</v>
      </c>
      <c r="M37" s="2"/>
      <c r="N37" s="2"/>
      <c r="O37" s="13"/>
      <c r="P37" s="13"/>
      <c r="Q37" s="17"/>
      <c r="R37" s="15"/>
      <c r="S37" s="15"/>
      <c r="T37" s="15"/>
      <c r="U37" s="15"/>
      <c r="V37" s="15"/>
      <c r="W37" s="15"/>
      <c r="X37" s="15"/>
      <c r="Y37" s="15"/>
      <c r="Z37" s="15"/>
      <c r="AA37" s="15"/>
      <c r="AB37" s="15"/>
      <c r="AC37" s="15"/>
      <c r="AD37" s="15"/>
    </row>
    <row r="38">
      <c r="A38" s="3" t="b">
        <v>0</v>
      </c>
      <c r="B38" s="3" t="b">
        <v>0</v>
      </c>
      <c r="C38" s="10" t="s">
        <v>485</v>
      </c>
      <c r="D38" s="2"/>
      <c r="E38" s="11" t="s">
        <v>486</v>
      </c>
      <c r="F38" s="2"/>
      <c r="G38" s="11" t="s">
        <v>14</v>
      </c>
      <c r="H38" s="11" t="s">
        <v>588</v>
      </c>
      <c r="I38" s="10" t="s">
        <v>662</v>
      </c>
      <c r="J38" s="2"/>
      <c r="K38" s="2"/>
      <c r="L38" s="11" t="s">
        <v>663</v>
      </c>
      <c r="M38" s="2"/>
      <c r="N38" s="2"/>
      <c r="O38" s="13"/>
      <c r="P38" s="13"/>
      <c r="Q38" s="17"/>
      <c r="R38" s="15"/>
      <c r="S38" s="15"/>
      <c r="T38" s="15"/>
      <c r="U38" s="15"/>
      <c r="V38" s="15"/>
      <c r="W38" s="15"/>
      <c r="X38" s="15"/>
      <c r="Y38" s="15"/>
      <c r="Z38" s="15"/>
      <c r="AA38" s="15"/>
      <c r="AB38" s="15"/>
      <c r="AC38" s="15"/>
      <c r="AD38" s="15"/>
    </row>
    <row r="39">
      <c r="A39" s="3" t="b">
        <v>0</v>
      </c>
      <c r="B39" s="3" t="b">
        <v>0</v>
      </c>
      <c r="C39" s="10" t="s">
        <v>485</v>
      </c>
      <c r="D39" s="2"/>
      <c r="E39" s="11" t="s">
        <v>486</v>
      </c>
      <c r="F39" s="11" t="s">
        <v>593</v>
      </c>
      <c r="G39" s="11" t="s">
        <v>593</v>
      </c>
      <c r="H39" s="11" t="s">
        <v>487</v>
      </c>
      <c r="I39" s="10" t="s">
        <v>664</v>
      </c>
      <c r="J39" s="2"/>
      <c r="K39" s="2"/>
      <c r="L39" s="11" t="s">
        <v>551</v>
      </c>
      <c r="M39" s="2"/>
      <c r="N39" s="2"/>
      <c r="O39" s="13"/>
      <c r="P39" s="13"/>
      <c r="Q39" s="17"/>
      <c r="R39" s="15"/>
      <c r="S39" s="15"/>
      <c r="T39" s="15"/>
      <c r="U39" s="15"/>
      <c r="V39" s="15"/>
      <c r="W39" s="15"/>
      <c r="X39" s="15"/>
      <c r="Y39" s="15"/>
      <c r="Z39" s="15"/>
      <c r="AA39" s="15"/>
      <c r="AB39" s="15"/>
      <c r="AC39" s="15"/>
      <c r="AD39" s="15"/>
    </row>
    <row r="40">
      <c r="A40" s="3" t="b">
        <v>0</v>
      </c>
      <c r="B40" s="3" t="b">
        <v>0</v>
      </c>
      <c r="C40" s="10" t="s">
        <v>492</v>
      </c>
      <c r="D40" s="2"/>
      <c r="E40" s="11" t="s">
        <v>493</v>
      </c>
      <c r="F40" s="2"/>
      <c r="G40" s="11" t="s">
        <v>14</v>
      </c>
      <c r="H40" s="11" t="s">
        <v>588</v>
      </c>
      <c r="I40" s="10" t="s">
        <v>446</v>
      </c>
      <c r="J40" s="2"/>
      <c r="K40" s="2"/>
      <c r="L40" s="11" t="s">
        <v>665</v>
      </c>
      <c r="M40" s="2"/>
      <c r="N40" s="2"/>
      <c r="O40" s="13"/>
      <c r="P40" s="13"/>
      <c r="Q40" s="17"/>
      <c r="R40" s="15"/>
      <c r="S40" s="15"/>
      <c r="T40" s="15"/>
      <c r="U40" s="15"/>
      <c r="V40" s="15"/>
      <c r="W40" s="15"/>
      <c r="X40" s="15"/>
      <c r="Y40" s="15"/>
      <c r="Z40" s="15"/>
      <c r="AA40" s="15"/>
      <c r="AB40" s="15"/>
      <c r="AC40" s="15"/>
      <c r="AD40" s="15"/>
    </row>
    <row r="41">
      <c r="A41" s="3" t="b">
        <v>0</v>
      </c>
      <c r="B41" s="3" t="b">
        <v>0</v>
      </c>
      <c r="C41" s="10" t="s">
        <v>492</v>
      </c>
      <c r="D41" s="2"/>
      <c r="E41" s="11" t="s">
        <v>493</v>
      </c>
      <c r="F41" s="11" t="s">
        <v>593</v>
      </c>
      <c r="G41" s="11" t="s">
        <v>593</v>
      </c>
      <c r="H41" s="11" t="s">
        <v>487</v>
      </c>
      <c r="I41" s="10" t="s">
        <v>666</v>
      </c>
      <c r="J41" s="2"/>
      <c r="K41" s="2"/>
      <c r="L41" s="11" t="s">
        <v>667</v>
      </c>
      <c r="M41" s="2"/>
      <c r="N41" s="2"/>
      <c r="O41" s="13"/>
      <c r="P41" s="13"/>
      <c r="Q41" s="17"/>
      <c r="R41" s="15"/>
      <c r="S41" s="15"/>
      <c r="T41" s="15"/>
      <c r="U41" s="15"/>
      <c r="V41" s="15"/>
      <c r="W41" s="15"/>
      <c r="X41" s="15"/>
      <c r="Y41" s="15"/>
      <c r="Z41" s="15"/>
      <c r="AA41" s="15"/>
      <c r="AB41" s="15"/>
      <c r="AC41" s="15"/>
      <c r="AD41" s="15"/>
    </row>
    <row r="42">
      <c r="A42" s="3" t="b">
        <v>0</v>
      </c>
      <c r="B42" s="3" t="b">
        <v>0</v>
      </c>
      <c r="C42" s="10" t="s">
        <v>497</v>
      </c>
      <c r="D42" s="2"/>
      <c r="E42" s="11" t="s">
        <v>498</v>
      </c>
      <c r="F42" s="2"/>
      <c r="G42" s="11" t="s">
        <v>14</v>
      </c>
      <c r="H42" s="11" t="s">
        <v>588</v>
      </c>
      <c r="I42" s="10" t="s">
        <v>183</v>
      </c>
      <c r="J42" s="2"/>
      <c r="K42" s="2"/>
      <c r="L42" s="11" t="s">
        <v>198</v>
      </c>
      <c r="M42" s="2"/>
      <c r="N42" s="2"/>
      <c r="O42" s="13"/>
      <c r="P42" s="13"/>
      <c r="Q42" s="17"/>
      <c r="R42" s="15"/>
      <c r="S42" s="15"/>
      <c r="T42" s="15"/>
      <c r="U42" s="15"/>
      <c r="V42" s="15"/>
      <c r="W42" s="15"/>
      <c r="X42" s="15"/>
      <c r="Y42" s="15"/>
      <c r="Z42" s="15"/>
      <c r="AA42" s="15"/>
      <c r="AB42" s="15"/>
      <c r="AC42" s="15"/>
      <c r="AD42" s="15"/>
    </row>
    <row r="43">
      <c r="A43" s="3" t="b">
        <v>0</v>
      </c>
      <c r="B43" s="3" t="b">
        <v>0</v>
      </c>
      <c r="C43" s="10" t="s">
        <v>497</v>
      </c>
      <c r="D43" s="2"/>
      <c r="E43" s="11" t="s">
        <v>498</v>
      </c>
      <c r="F43" s="11" t="s">
        <v>593</v>
      </c>
      <c r="G43" s="11" t="s">
        <v>593</v>
      </c>
      <c r="H43" s="11" t="s">
        <v>487</v>
      </c>
      <c r="I43" s="10" t="s">
        <v>668</v>
      </c>
      <c r="J43" s="2"/>
      <c r="K43" s="2"/>
      <c r="L43" s="11" t="s">
        <v>440</v>
      </c>
      <c r="M43" s="2"/>
      <c r="N43" s="2"/>
      <c r="O43" s="13"/>
      <c r="P43" s="13"/>
      <c r="Q43" s="17"/>
      <c r="R43" s="15"/>
      <c r="S43" s="15"/>
      <c r="T43" s="15"/>
      <c r="U43" s="15"/>
      <c r="V43" s="15"/>
      <c r="W43" s="15"/>
      <c r="X43" s="15"/>
      <c r="Y43" s="15"/>
      <c r="Z43" s="15"/>
      <c r="AA43" s="15"/>
      <c r="AB43" s="15"/>
      <c r="AC43" s="15"/>
      <c r="AD43" s="15"/>
    </row>
    <row r="44">
      <c r="A44" s="3" t="b">
        <v>0</v>
      </c>
      <c r="B44" s="3" t="b">
        <v>0</v>
      </c>
      <c r="C44" s="10" t="s">
        <v>520</v>
      </c>
      <c r="D44" s="2"/>
      <c r="E44" s="11" t="s">
        <v>521</v>
      </c>
      <c r="F44" s="2"/>
      <c r="G44" s="11" t="s">
        <v>14</v>
      </c>
      <c r="H44" s="11" t="s">
        <v>182</v>
      </c>
      <c r="I44" s="10" t="s">
        <v>669</v>
      </c>
      <c r="J44" s="2"/>
      <c r="K44" s="2"/>
      <c r="L44" s="11" t="s">
        <v>179</v>
      </c>
      <c r="M44" s="2"/>
      <c r="N44" s="2"/>
      <c r="O44" s="13"/>
      <c r="P44" s="13"/>
      <c r="Q44" s="17"/>
      <c r="R44" s="15"/>
      <c r="S44" s="15"/>
      <c r="T44" s="15"/>
      <c r="U44" s="15"/>
      <c r="V44" s="15"/>
      <c r="W44" s="15"/>
      <c r="X44" s="15"/>
      <c r="Y44" s="15"/>
      <c r="Z44" s="15"/>
      <c r="AA44" s="15"/>
      <c r="AB44" s="15"/>
      <c r="AC44" s="15"/>
      <c r="AD44" s="15"/>
    </row>
    <row r="45">
      <c r="A45" s="8" t="b">
        <v>0</v>
      </c>
      <c r="B45" s="8" t="b">
        <v>0</v>
      </c>
      <c r="C45" s="10" t="s">
        <v>525</v>
      </c>
      <c r="D45" s="11" t="s">
        <v>642</v>
      </c>
      <c r="E45" s="11" t="s">
        <v>526</v>
      </c>
      <c r="F45" s="2"/>
      <c r="G45" s="11" t="s">
        <v>202</v>
      </c>
      <c r="H45" s="11" t="s">
        <v>487</v>
      </c>
      <c r="I45" s="10" t="s">
        <v>670</v>
      </c>
      <c r="J45" s="11" t="s">
        <v>478</v>
      </c>
      <c r="K45" s="11" t="s">
        <v>671</v>
      </c>
      <c r="L45" s="11" t="s">
        <v>534</v>
      </c>
      <c r="M45" s="58" t="str">
        <f>hyperlink("https://pkmncards.com/card/galarian-articuno-sword-shield-promos-swsh282/",image("https://i0.wp.com/pkmncards.com/wp-content/uploads/en_US-Promo_SWSH-SWSH282-galarian_articuno.jpg?fit=734%2C1024&amp;ssl=1"))</f>
        <v/>
      </c>
      <c r="N45" s="58" t="str">
        <f>hyperlink("https://www.serebii.net/card/vstaruniverse/182.shtml", image("https://www.serebii.net/card/vstaruniverse/182.jpg"))</f>
        <v/>
      </c>
      <c r="O45" s="6"/>
      <c r="P45" s="13"/>
      <c r="Q45" s="17"/>
      <c r="R45" s="15"/>
      <c r="S45" s="15"/>
      <c r="T45" s="15"/>
      <c r="U45" s="15"/>
      <c r="V45" s="15"/>
      <c r="W45" s="15"/>
      <c r="X45" s="15"/>
      <c r="Y45" s="15"/>
      <c r="Z45" s="15"/>
      <c r="AA45" s="15"/>
      <c r="AB45" s="15"/>
      <c r="AC45" s="15"/>
      <c r="AD45" s="15"/>
    </row>
    <row r="46">
      <c r="A46" s="3" t="b">
        <v>0</v>
      </c>
      <c r="B46" s="3" t="b">
        <v>0</v>
      </c>
      <c r="C46" s="10" t="s">
        <v>525</v>
      </c>
      <c r="D46" s="11" t="s">
        <v>642</v>
      </c>
      <c r="E46" s="11" t="s">
        <v>526</v>
      </c>
      <c r="F46" s="11" t="s">
        <v>60</v>
      </c>
      <c r="G46" s="11" t="s">
        <v>202</v>
      </c>
      <c r="H46" s="11" t="s">
        <v>61</v>
      </c>
      <c r="I46" s="10" t="s">
        <v>622</v>
      </c>
      <c r="J46" s="2"/>
      <c r="K46" s="2"/>
      <c r="L46" s="11" t="s">
        <v>179</v>
      </c>
      <c r="M46" s="2"/>
      <c r="N46" s="2"/>
      <c r="O46" s="13"/>
      <c r="P46" s="13"/>
      <c r="Q46" s="17"/>
      <c r="R46" s="15"/>
      <c r="S46" s="15"/>
      <c r="T46" s="15"/>
      <c r="U46" s="15"/>
      <c r="V46" s="15"/>
      <c r="W46" s="15"/>
      <c r="X46" s="15"/>
      <c r="Y46" s="15"/>
      <c r="Z46" s="15"/>
      <c r="AA46" s="15"/>
      <c r="AB46" s="15"/>
      <c r="AC46" s="15"/>
      <c r="AD46" s="15"/>
    </row>
    <row r="47">
      <c r="A47" s="3" t="b">
        <v>0</v>
      </c>
      <c r="B47" s="3" t="b">
        <v>0</v>
      </c>
      <c r="C47" s="10" t="s">
        <v>525</v>
      </c>
      <c r="D47" s="11" t="s">
        <v>642</v>
      </c>
      <c r="E47" s="11" t="s">
        <v>526</v>
      </c>
      <c r="F47" s="11" t="s">
        <v>60</v>
      </c>
      <c r="G47" s="11" t="s">
        <v>202</v>
      </c>
      <c r="H47" s="11" t="s">
        <v>643</v>
      </c>
      <c r="I47" s="10" t="s">
        <v>672</v>
      </c>
      <c r="J47" s="2"/>
      <c r="K47" s="2"/>
      <c r="L47" s="11" t="s">
        <v>673</v>
      </c>
      <c r="M47" s="2"/>
      <c r="N47" s="2"/>
      <c r="O47" s="13"/>
      <c r="P47" s="13"/>
      <c r="Q47" s="17"/>
      <c r="R47" s="15"/>
      <c r="S47" s="15"/>
      <c r="T47" s="15"/>
      <c r="U47" s="15"/>
      <c r="V47" s="15"/>
      <c r="W47" s="15"/>
      <c r="X47" s="15"/>
      <c r="Y47" s="15"/>
      <c r="Z47" s="15"/>
      <c r="AA47" s="15"/>
      <c r="AB47" s="15"/>
      <c r="AC47" s="15"/>
      <c r="AD47" s="15"/>
    </row>
    <row r="48">
      <c r="A48" s="3" t="b">
        <v>0</v>
      </c>
      <c r="B48" s="3" t="b">
        <v>0</v>
      </c>
      <c r="C48" s="10" t="s">
        <v>530</v>
      </c>
      <c r="D48" s="11" t="s">
        <v>642</v>
      </c>
      <c r="E48" s="11" t="s">
        <v>531</v>
      </c>
      <c r="F48" s="11" t="s">
        <v>60</v>
      </c>
      <c r="G48" s="11" t="s">
        <v>202</v>
      </c>
      <c r="H48" s="11" t="s">
        <v>643</v>
      </c>
      <c r="I48" s="10" t="s">
        <v>674</v>
      </c>
      <c r="J48" s="2"/>
      <c r="K48" s="2"/>
      <c r="L48" s="11" t="s">
        <v>279</v>
      </c>
      <c r="M48" s="2"/>
      <c r="N48" s="2"/>
      <c r="O48" s="13"/>
      <c r="P48" s="13"/>
      <c r="Q48" s="17"/>
      <c r="R48" s="15"/>
      <c r="S48" s="15"/>
      <c r="T48" s="15"/>
      <c r="U48" s="15"/>
      <c r="V48" s="15"/>
      <c r="W48" s="15"/>
      <c r="X48" s="15"/>
      <c r="Y48" s="15"/>
      <c r="Z48" s="15"/>
      <c r="AA48" s="15"/>
      <c r="AB48" s="15"/>
      <c r="AC48" s="15"/>
      <c r="AD48" s="15"/>
    </row>
    <row r="49">
      <c r="A49" s="3" t="b">
        <v>0</v>
      </c>
      <c r="B49" s="3" t="b">
        <v>0</v>
      </c>
      <c r="C49" s="10" t="s">
        <v>530</v>
      </c>
      <c r="D49" s="11" t="s">
        <v>642</v>
      </c>
      <c r="E49" s="11" t="s">
        <v>531</v>
      </c>
      <c r="F49" s="2"/>
      <c r="G49" s="11" t="s">
        <v>202</v>
      </c>
      <c r="H49" s="11" t="s">
        <v>487</v>
      </c>
      <c r="I49" s="10" t="s">
        <v>675</v>
      </c>
      <c r="J49" s="2"/>
      <c r="K49" s="2"/>
      <c r="L49" s="11" t="s">
        <v>676</v>
      </c>
      <c r="M49" s="2"/>
      <c r="N49" s="2"/>
      <c r="O49" s="13"/>
      <c r="P49" s="13"/>
      <c r="Q49" s="17"/>
      <c r="R49" s="15"/>
      <c r="S49" s="15"/>
      <c r="T49" s="15"/>
      <c r="U49" s="15"/>
      <c r="V49" s="15"/>
      <c r="W49" s="15"/>
      <c r="X49" s="15"/>
      <c r="Y49" s="15"/>
      <c r="Z49" s="15"/>
      <c r="AA49" s="15"/>
      <c r="AB49" s="15"/>
      <c r="AC49" s="15"/>
      <c r="AD49" s="15"/>
    </row>
    <row r="50">
      <c r="A50" s="3" t="b">
        <v>0</v>
      </c>
      <c r="B50" s="3" t="b">
        <v>0</v>
      </c>
      <c r="C50" s="10" t="s">
        <v>530</v>
      </c>
      <c r="D50" s="11" t="s">
        <v>642</v>
      </c>
      <c r="E50" s="11" t="s">
        <v>531</v>
      </c>
      <c r="F50" s="11" t="s">
        <v>60</v>
      </c>
      <c r="G50" s="11" t="s">
        <v>202</v>
      </c>
      <c r="H50" s="11" t="s">
        <v>61</v>
      </c>
      <c r="I50" s="10" t="s">
        <v>677</v>
      </c>
      <c r="J50" s="2"/>
      <c r="K50" s="2"/>
      <c r="L50" s="11" t="s">
        <v>678</v>
      </c>
      <c r="M50" s="2"/>
      <c r="N50" s="2"/>
      <c r="O50" s="13"/>
      <c r="P50" s="13"/>
      <c r="Q50" s="17"/>
      <c r="R50" s="15"/>
      <c r="S50" s="15"/>
      <c r="T50" s="15"/>
      <c r="U50" s="15"/>
      <c r="V50" s="15"/>
      <c r="W50" s="15"/>
      <c r="X50" s="15"/>
      <c r="Y50" s="15"/>
      <c r="Z50" s="15"/>
      <c r="AA50" s="15"/>
      <c r="AB50" s="15"/>
      <c r="AC50" s="15"/>
      <c r="AD50" s="15"/>
    </row>
    <row r="51">
      <c r="A51" s="3" t="b">
        <v>0</v>
      </c>
      <c r="B51" s="3" t="b">
        <v>0</v>
      </c>
      <c r="C51" s="10" t="s">
        <v>535</v>
      </c>
      <c r="D51" s="24" t="s">
        <v>642</v>
      </c>
      <c r="E51" s="11" t="s">
        <v>536</v>
      </c>
      <c r="F51" s="11" t="s">
        <v>60</v>
      </c>
      <c r="G51" s="11" t="s">
        <v>202</v>
      </c>
      <c r="H51" s="11" t="s">
        <v>643</v>
      </c>
      <c r="I51" s="10" t="s">
        <v>679</v>
      </c>
      <c r="J51" s="2"/>
      <c r="K51" s="2"/>
      <c r="L51" s="11" t="s">
        <v>680</v>
      </c>
      <c r="M51" s="2"/>
      <c r="N51" s="2"/>
      <c r="O51" s="13"/>
      <c r="P51" s="13"/>
      <c r="Q51" s="17"/>
      <c r="R51" s="15"/>
      <c r="S51" s="15"/>
      <c r="T51" s="15"/>
      <c r="U51" s="15"/>
      <c r="V51" s="15"/>
      <c r="W51" s="15"/>
      <c r="X51" s="15"/>
      <c r="Y51" s="15"/>
      <c r="Z51" s="15"/>
      <c r="AA51" s="15"/>
      <c r="AB51" s="15"/>
      <c r="AC51" s="15"/>
      <c r="AD51" s="15"/>
    </row>
    <row r="52">
      <c r="A52" s="3" t="b">
        <v>0</v>
      </c>
      <c r="B52" s="3" t="b">
        <v>0</v>
      </c>
      <c r="C52" s="10" t="s">
        <v>535</v>
      </c>
      <c r="D52" s="11" t="s">
        <v>642</v>
      </c>
      <c r="E52" s="11" t="s">
        <v>536</v>
      </c>
      <c r="F52" s="11" t="s">
        <v>60</v>
      </c>
      <c r="G52" s="11" t="s">
        <v>202</v>
      </c>
      <c r="H52" s="11" t="s">
        <v>61</v>
      </c>
      <c r="I52" s="10" t="s">
        <v>681</v>
      </c>
      <c r="J52" s="2"/>
      <c r="K52" s="2"/>
      <c r="L52" s="11" t="s">
        <v>663</v>
      </c>
      <c r="M52" s="2"/>
      <c r="N52" s="2"/>
      <c r="O52" s="13"/>
      <c r="P52" s="13"/>
      <c r="Q52" s="17"/>
      <c r="R52" s="15"/>
      <c r="S52" s="15"/>
      <c r="T52" s="15"/>
      <c r="U52" s="15"/>
      <c r="V52" s="15"/>
      <c r="W52" s="15"/>
      <c r="X52" s="15"/>
      <c r="Y52" s="15"/>
      <c r="Z52" s="15"/>
      <c r="AA52" s="15"/>
      <c r="AB52" s="15"/>
      <c r="AC52" s="15"/>
      <c r="AD52" s="15"/>
    </row>
    <row r="53">
      <c r="A53" s="8" t="b">
        <v>0</v>
      </c>
      <c r="B53" s="8" t="b">
        <v>0</v>
      </c>
      <c r="C53" s="10" t="s">
        <v>535</v>
      </c>
      <c r="D53" s="24" t="s">
        <v>642</v>
      </c>
      <c r="E53" s="11" t="s">
        <v>536</v>
      </c>
      <c r="F53" s="59"/>
      <c r="G53" s="24" t="s">
        <v>202</v>
      </c>
      <c r="H53" s="24" t="s">
        <v>487</v>
      </c>
      <c r="I53" s="10" t="s">
        <v>682</v>
      </c>
      <c r="J53" s="24" t="s">
        <v>478</v>
      </c>
      <c r="K53" s="24" t="s">
        <v>683</v>
      </c>
      <c r="L53" s="24" t="s">
        <v>319</v>
      </c>
      <c r="M53" s="60" t="str">
        <f>hyperlink("https://pkmncards.com/card/galarian-moltres-sword-shield-promos-swsh284/",image("https://i0.wp.com/pkmncards.com/wp-content/uploads/en_US-Promo_SWSH-SWSH284-galarian_moltres.jpg?fit=734%2C1024&amp;ssl=1"))</f>
        <v/>
      </c>
      <c r="N53" s="60" t="str">
        <f>hyperlink("https://www.serebii.net/card/vstaruniverse/190.shtml", image("https://www.serebii.net/card/vstaruniverse/190.jpg"))</f>
        <v/>
      </c>
      <c r="O53" s="6"/>
      <c r="P53" s="13"/>
      <c r="Q53" s="17"/>
      <c r="R53" s="37"/>
      <c r="S53" s="37"/>
      <c r="T53" s="37"/>
      <c r="U53" s="37"/>
      <c r="V53" s="37"/>
      <c r="W53" s="37"/>
      <c r="X53" s="37"/>
      <c r="Y53" s="37"/>
      <c r="Z53" s="37"/>
      <c r="AA53" s="37"/>
      <c r="AB53" s="37"/>
      <c r="AC53" s="37"/>
      <c r="AD53" s="37"/>
    </row>
    <row r="54">
      <c r="A54" s="61" t="b">
        <v>0</v>
      </c>
      <c r="B54" s="61" t="b">
        <v>0</v>
      </c>
      <c r="C54" s="10" t="s">
        <v>552</v>
      </c>
      <c r="D54" s="24" t="s">
        <v>84</v>
      </c>
      <c r="E54" s="11" t="s">
        <v>553</v>
      </c>
      <c r="F54" s="62" t="s">
        <v>24</v>
      </c>
      <c r="G54" s="24" t="s">
        <v>14</v>
      </c>
      <c r="H54" s="24" t="s">
        <v>86</v>
      </c>
      <c r="I54" s="57"/>
      <c r="J54" s="24" t="s">
        <v>88</v>
      </c>
      <c r="K54" s="24" t="s">
        <v>684</v>
      </c>
      <c r="L54" s="24" t="s">
        <v>685</v>
      </c>
      <c r="M54" s="63"/>
      <c r="N54" s="17" t="str">
        <f>image("https://public.getcollectr.com/public-assets/products/product_10028020.jpg?optimizer=image&amp;format=webp&amp;width=800&amp;quality=85&amp;strip=metadata")</f>
        <v/>
      </c>
      <c r="O54" s="13"/>
      <c r="P54" s="13"/>
      <c r="Q54" s="17"/>
      <c r="R54" s="37"/>
      <c r="S54" s="37"/>
      <c r="T54" s="37"/>
      <c r="U54" s="37"/>
      <c r="V54" s="37"/>
      <c r="W54" s="37"/>
      <c r="X54" s="37"/>
      <c r="Y54" s="37"/>
      <c r="Z54" s="37"/>
      <c r="AA54" s="37"/>
      <c r="AB54" s="37"/>
      <c r="AC54" s="37"/>
      <c r="AD54" s="37"/>
    </row>
    <row r="55">
      <c r="A55" s="61" t="b">
        <v>0</v>
      </c>
      <c r="B55" s="61" t="b">
        <v>0</v>
      </c>
      <c r="C55" s="10" t="s">
        <v>552</v>
      </c>
      <c r="D55" s="17"/>
      <c r="E55" s="11" t="s">
        <v>553</v>
      </c>
      <c r="F55" s="62" t="s">
        <v>595</v>
      </c>
      <c r="G55" s="24" t="s">
        <v>14</v>
      </c>
      <c r="H55" s="24" t="s">
        <v>175</v>
      </c>
      <c r="I55" s="10" t="s">
        <v>686</v>
      </c>
      <c r="J55" s="17"/>
      <c r="K55" s="17"/>
      <c r="L55" s="24" t="s">
        <v>524</v>
      </c>
      <c r="M55" s="17"/>
      <c r="N55" s="17"/>
      <c r="O55" s="13"/>
      <c r="P55" s="13"/>
      <c r="Q55" s="17"/>
      <c r="R55" s="37"/>
      <c r="S55" s="37"/>
      <c r="T55" s="37"/>
      <c r="U55" s="37"/>
      <c r="V55" s="37"/>
      <c r="W55" s="37"/>
      <c r="X55" s="37"/>
      <c r="Y55" s="37"/>
      <c r="Z55" s="37"/>
      <c r="AA55" s="37"/>
      <c r="AB55" s="37"/>
      <c r="AC55" s="37"/>
      <c r="AD55" s="37"/>
    </row>
    <row r="56">
      <c r="A56" s="61" t="b">
        <v>0</v>
      </c>
      <c r="B56" s="61" t="b">
        <v>0</v>
      </c>
      <c r="C56" s="10" t="s">
        <v>552</v>
      </c>
      <c r="D56" s="17"/>
      <c r="E56" s="11" t="s">
        <v>553</v>
      </c>
      <c r="F56" s="62" t="s">
        <v>377</v>
      </c>
      <c r="G56" s="24" t="s">
        <v>14</v>
      </c>
      <c r="H56" s="24" t="s">
        <v>687</v>
      </c>
      <c r="I56" s="10" t="s">
        <v>688</v>
      </c>
      <c r="J56" s="17"/>
      <c r="K56" s="17"/>
      <c r="L56" s="24" t="s">
        <v>39</v>
      </c>
      <c r="M56" s="17"/>
      <c r="N56" s="17"/>
      <c r="O56" s="13"/>
      <c r="P56" s="13"/>
      <c r="Q56" s="17"/>
      <c r="R56" s="37"/>
      <c r="S56" s="37"/>
      <c r="T56" s="37"/>
      <c r="U56" s="37"/>
      <c r="V56" s="37"/>
      <c r="W56" s="37"/>
      <c r="X56" s="37"/>
      <c r="Y56" s="37"/>
      <c r="Z56" s="37"/>
      <c r="AA56" s="37"/>
      <c r="AB56" s="37"/>
      <c r="AC56" s="37"/>
      <c r="AD56" s="37"/>
    </row>
    <row r="57">
      <c r="A57" s="61" t="b">
        <v>0</v>
      </c>
      <c r="B57" s="61" t="b">
        <v>0</v>
      </c>
      <c r="C57" s="10" t="s">
        <v>557</v>
      </c>
      <c r="D57" s="17"/>
      <c r="E57" s="11" t="s">
        <v>558</v>
      </c>
      <c r="F57" s="59"/>
      <c r="G57" s="24" t="s">
        <v>14</v>
      </c>
      <c r="H57" s="24" t="s">
        <v>175</v>
      </c>
      <c r="I57" s="10" t="s">
        <v>689</v>
      </c>
      <c r="J57" s="17"/>
      <c r="K57" s="17"/>
      <c r="L57" s="24" t="s">
        <v>590</v>
      </c>
      <c r="M57" s="17"/>
      <c r="N57" s="17"/>
      <c r="O57" s="13"/>
      <c r="P57" s="13"/>
      <c r="Q57" s="17"/>
      <c r="R57" s="37"/>
      <c r="S57" s="37"/>
      <c r="T57" s="37"/>
      <c r="U57" s="37"/>
      <c r="V57" s="37"/>
      <c r="W57" s="37"/>
      <c r="X57" s="37"/>
      <c r="Y57" s="37"/>
      <c r="Z57" s="37"/>
      <c r="AA57" s="37"/>
      <c r="AB57" s="37"/>
      <c r="AC57" s="37"/>
      <c r="AD57" s="37"/>
    </row>
    <row r="58">
      <c r="A58" s="61" t="b">
        <v>0</v>
      </c>
      <c r="B58" s="61" t="b">
        <v>0</v>
      </c>
      <c r="C58" s="10" t="s">
        <v>557</v>
      </c>
      <c r="D58" s="17"/>
      <c r="E58" s="11" t="s">
        <v>558</v>
      </c>
      <c r="F58" s="62" t="s">
        <v>60</v>
      </c>
      <c r="G58" s="24" t="s">
        <v>14</v>
      </c>
      <c r="H58" s="24" t="s">
        <v>648</v>
      </c>
      <c r="I58" s="10" t="s">
        <v>690</v>
      </c>
      <c r="J58" s="17"/>
      <c r="K58" s="17"/>
      <c r="L58" s="24" t="s">
        <v>691</v>
      </c>
      <c r="M58" s="17"/>
      <c r="N58" s="17"/>
      <c r="O58" s="13"/>
      <c r="P58" s="13"/>
      <c r="Q58" s="17"/>
      <c r="R58" s="37"/>
      <c r="S58" s="37"/>
      <c r="T58" s="37"/>
      <c r="U58" s="37"/>
      <c r="V58" s="37"/>
      <c r="W58" s="37"/>
      <c r="X58" s="37"/>
      <c r="Y58" s="37"/>
      <c r="Z58" s="37"/>
      <c r="AA58" s="37"/>
      <c r="AB58" s="37"/>
      <c r="AC58" s="37"/>
      <c r="AD58" s="37"/>
    </row>
    <row r="59">
      <c r="A59" s="61" t="b">
        <v>0</v>
      </c>
      <c r="B59" s="61" t="b">
        <v>0</v>
      </c>
      <c r="C59" s="10" t="s">
        <v>557</v>
      </c>
      <c r="D59" s="17"/>
      <c r="E59" s="11" t="s">
        <v>558</v>
      </c>
      <c r="F59" s="62" t="s">
        <v>24</v>
      </c>
      <c r="G59" s="24" t="s">
        <v>14</v>
      </c>
      <c r="H59" s="24" t="s">
        <v>591</v>
      </c>
      <c r="I59" s="10" t="s">
        <v>692</v>
      </c>
      <c r="J59" s="17"/>
      <c r="K59" s="17"/>
      <c r="L59" s="24" t="s">
        <v>693</v>
      </c>
      <c r="M59" s="17"/>
      <c r="N59" s="17"/>
      <c r="O59" s="13"/>
      <c r="P59" s="13"/>
      <c r="Q59" s="17"/>
      <c r="R59" s="37"/>
      <c r="S59" s="37"/>
      <c r="T59" s="37"/>
      <c r="U59" s="37"/>
      <c r="V59" s="37"/>
      <c r="W59" s="37"/>
      <c r="X59" s="37"/>
      <c r="Y59" s="37"/>
      <c r="Z59" s="37"/>
      <c r="AA59" s="37"/>
      <c r="AB59" s="37"/>
      <c r="AC59" s="37"/>
      <c r="AD59" s="37"/>
    </row>
    <row r="60">
      <c r="A60" s="61" t="b">
        <v>0</v>
      </c>
      <c r="B60" s="61" t="b">
        <v>0</v>
      </c>
      <c r="C60" s="10" t="s">
        <v>557</v>
      </c>
      <c r="D60" s="17"/>
      <c r="E60" s="11" t="s">
        <v>558</v>
      </c>
      <c r="F60" s="62" t="s">
        <v>593</v>
      </c>
      <c r="G60" s="24" t="s">
        <v>593</v>
      </c>
      <c r="H60" s="24" t="s">
        <v>648</v>
      </c>
      <c r="I60" s="10" t="s">
        <v>694</v>
      </c>
      <c r="J60" s="17"/>
      <c r="K60" s="17"/>
      <c r="L60" s="24" t="s">
        <v>539</v>
      </c>
      <c r="M60" s="17"/>
      <c r="N60" s="17"/>
      <c r="O60" s="13"/>
      <c r="P60" s="13"/>
      <c r="Q60" s="17"/>
      <c r="R60" s="37"/>
      <c r="S60" s="37"/>
      <c r="T60" s="37"/>
      <c r="U60" s="37"/>
      <c r="V60" s="37"/>
      <c r="W60" s="37"/>
      <c r="X60" s="37"/>
      <c r="Y60" s="37"/>
      <c r="Z60" s="37"/>
      <c r="AA60" s="37"/>
      <c r="AB60" s="37"/>
      <c r="AC60" s="37"/>
      <c r="AD60" s="37"/>
    </row>
    <row r="61">
      <c r="A61" s="61" t="b">
        <v>0</v>
      </c>
      <c r="B61" s="61" t="b">
        <v>0</v>
      </c>
      <c r="C61" s="24" t="s">
        <v>557</v>
      </c>
      <c r="D61" s="17"/>
      <c r="E61" s="11" t="s">
        <v>558</v>
      </c>
      <c r="F61" s="59"/>
      <c r="G61" s="24" t="s">
        <v>14</v>
      </c>
      <c r="H61" s="24" t="s">
        <v>602</v>
      </c>
      <c r="I61" s="10" t="s">
        <v>695</v>
      </c>
      <c r="J61" s="17"/>
      <c r="K61" s="17"/>
      <c r="L61" s="24" t="s">
        <v>696</v>
      </c>
      <c r="M61" s="17"/>
      <c r="N61" s="17"/>
      <c r="O61" s="13"/>
      <c r="P61" s="13"/>
      <c r="Q61" s="17"/>
      <c r="R61" s="37"/>
      <c r="S61" s="37"/>
      <c r="T61" s="37"/>
      <c r="U61" s="37"/>
      <c r="V61" s="37"/>
      <c r="W61" s="37"/>
      <c r="X61" s="37"/>
      <c r="Y61" s="37"/>
      <c r="Z61" s="37"/>
      <c r="AA61" s="37"/>
      <c r="AB61" s="37"/>
      <c r="AC61" s="37"/>
      <c r="AD61" s="37"/>
    </row>
    <row r="62">
      <c r="D62" s="40"/>
      <c r="E62" s="41"/>
      <c r="F62" s="42"/>
      <c r="G62" s="37"/>
      <c r="I62" s="43"/>
      <c r="L62" s="37"/>
      <c r="M62" s="44"/>
      <c r="N62" s="44"/>
      <c r="O62" s="45"/>
      <c r="P62" s="45"/>
      <c r="Q62" s="37"/>
      <c r="R62" s="37"/>
      <c r="S62" s="37"/>
      <c r="T62" s="37"/>
      <c r="U62" s="37"/>
      <c r="V62" s="37"/>
      <c r="W62" s="37"/>
      <c r="X62" s="37"/>
      <c r="Y62" s="37"/>
      <c r="Z62" s="37"/>
      <c r="AA62" s="37"/>
      <c r="AB62" s="37"/>
      <c r="AC62" s="37"/>
      <c r="AD62" s="37"/>
    </row>
    <row r="63">
      <c r="D63" s="40"/>
      <c r="E63" s="41"/>
      <c r="F63" s="42"/>
      <c r="G63" s="37"/>
      <c r="I63" s="43"/>
      <c r="L63" s="37"/>
      <c r="M63" s="44"/>
      <c r="N63" s="44"/>
      <c r="O63" s="45"/>
      <c r="P63" s="45"/>
      <c r="Q63" s="37"/>
      <c r="R63" s="37"/>
      <c r="S63" s="37"/>
      <c r="T63" s="37"/>
      <c r="U63" s="37"/>
      <c r="V63" s="37"/>
      <c r="W63" s="37"/>
      <c r="X63" s="37"/>
      <c r="Y63" s="37"/>
      <c r="Z63" s="37"/>
      <c r="AA63" s="37"/>
      <c r="AB63" s="37"/>
      <c r="AC63" s="37"/>
      <c r="AD63" s="37"/>
    </row>
    <row r="64">
      <c r="D64" s="40"/>
      <c r="E64" s="41"/>
      <c r="F64" s="42"/>
      <c r="G64" s="37"/>
      <c r="I64" s="43"/>
      <c r="L64" s="37"/>
      <c r="M64" s="44"/>
      <c r="N64" s="44"/>
      <c r="O64" s="45"/>
      <c r="P64" s="45"/>
      <c r="Q64" s="37"/>
      <c r="R64" s="37"/>
      <c r="S64" s="37"/>
      <c r="T64" s="37"/>
      <c r="U64" s="37"/>
      <c r="V64" s="37"/>
      <c r="W64" s="37"/>
      <c r="X64" s="37"/>
      <c r="Y64" s="37"/>
      <c r="Z64" s="37"/>
      <c r="AA64" s="37"/>
      <c r="AB64" s="37"/>
      <c r="AC64" s="37"/>
      <c r="AD64" s="37"/>
    </row>
    <row r="65">
      <c r="D65" s="40"/>
      <c r="E65" s="41"/>
      <c r="F65" s="42"/>
      <c r="G65" s="37"/>
      <c r="I65" s="43"/>
      <c r="L65" s="37"/>
      <c r="M65" s="44"/>
      <c r="N65" s="44"/>
      <c r="O65" s="45"/>
      <c r="P65" s="45"/>
      <c r="Q65" s="37"/>
      <c r="R65" s="37"/>
      <c r="S65" s="37"/>
      <c r="T65" s="37"/>
      <c r="U65" s="37"/>
      <c r="V65" s="37"/>
      <c r="W65" s="37"/>
      <c r="X65" s="37"/>
      <c r="Y65" s="37"/>
      <c r="Z65" s="37"/>
      <c r="AA65" s="37"/>
      <c r="AB65" s="37"/>
      <c r="AC65" s="37"/>
      <c r="AD65" s="37"/>
    </row>
    <row r="66">
      <c r="D66" s="40"/>
      <c r="E66" s="41"/>
      <c r="F66" s="42"/>
      <c r="G66" s="37"/>
      <c r="I66" s="43"/>
      <c r="L66" s="37"/>
      <c r="M66" s="44"/>
      <c r="N66" s="44"/>
      <c r="O66" s="45"/>
      <c r="P66" s="45"/>
      <c r="Q66" s="37"/>
      <c r="R66" s="37"/>
      <c r="S66" s="37"/>
      <c r="T66" s="37"/>
      <c r="U66" s="37"/>
      <c r="V66" s="37"/>
      <c r="W66" s="37"/>
      <c r="X66" s="37"/>
      <c r="Y66" s="37"/>
      <c r="Z66" s="37"/>
      <c r="AA66" s="37"/>
      <c r="AB66" s="37"/>
      <c r="AC66" s="37"/>
      <c r="AD66" s="37"/>
    </row>
    <row r="67">
      <c r="D67" s="40"/>
      <c r="E67" s="41"/>
      <c r="F67" s="42"/>
      <c r="G67" s="37"/>
      <c r="I67" s="43"/>
      <c r="L67" s="37"/>
      <c r="M67" s="44"/>
      <c r="N67" s="44"/>
      <c r="O67" s="45"/>
      <c r="P67" s="45"/>
      <c r="Q67" s="37"/>
      <c r="R67" s="37"/>
      <c r="S67" s="37"/>
      <c r="T67" s="37"/>
      <c r="U67" s="37"/>
      <c r="V67" s="37"/>
      <c r="W67" s="37"/>
      <c r="X67" s="37"/>
      <c r="Y67" s="37"/>
      <c r="Z67" s="37"/>
      <c r="AA67" s="37"/>
      <c r="AB67" s="37"/>
      <c r="AC67" s="37"/>
      <c r="AD67" s="37"/>
    </row>
    <row r="68">
      <c r="D68" s="40"/>
      <c r="E68" s="41"/>
      <c r="F68" s="42"/>
      <c r="G68" s="37"/>
      <c r="I68" s="43"/>
      <c r="L68" s="37"/>
      <c r="M68" s="44"/>
      <c r="N68" s="44"/>
      <c r="O68" s="45"/>
      <c r="P68" s="45"/>
      <c r="Q68" s="37"/>
      <c r="R68" s="37"/>
      <c r="S68" s="37"/>
      <c r="T68" s="37"/>
      <c r="U68" s="37"/>
      <c r="V68" s="37"/>
      <c r="W68" s="37"/>
      <c r="X68" s="37"/>
      <c r="Y68" s="37"/>
      <c r="Z68" s="37"/>
      <c r="AA68" s="37"/>
      <c r="AB68" s="37"/>
      <c r="AC68" s="37"/>
      <c r="AD68" s="37"/>
    </row>
    <row r="69">
      <c r="D69" s="40"/>
      <c r="E69" s="41"/>
      <c r="F69" s="42"/>
      <c r="G69" s="37"/>
      <c r="I69" s="43"/>
      <c r="L69" s="37"/>
      <c r="M69" s="44"/>
      <c r="N69" s="44"/>
      <c r="O69" s="45"/>
      <c r="P69" s="45"/>
      <c r="Q69" s="37"/>
      <c r="R69" s="37"/>
      <c r="S69" s="37"/>
      <c r="T69" s="37"/>
      <c r="U69" s="37"/>
      <c r="V69" s="37"/>
      <c r="W69" s="37"/>
      <c r="X69" s="37"/>
      <c r="Y69" s="37"/>
      <c r="Z69" s="37"/>
      <c r="AA69" s="37"/>
      <c r="AB69" s="37"/>
      <c r="AC69" s="37"/>
      <c r="AD69" s="37"/>
    </row>
    <row r="70">
      <c r="D70" s="40"/>
      <c r="E70" s="41"/>
      <c r="F70" s="42"/>
      <c r="G70" s="37"/>
      <c r="I70" s="43"/>
      <c r="L70" s="37"/>
      <c r="M70" s="44"/>
      <c r="N70" s="44"/>
      <c r="O70" s="45"/>
      <c r="P70" s="45"/>
      <c r="Q70" s="37"/>
      <c r="R70" s="37"/>
      <c r="S70" s="37"/>
      <c r="T70" s="37"/>
      <c r="U70" s="37"/>
      <c r="V70" s="37"/>
      <c r="W70" s="37"/>
      <c r="X70" s="37"/>
      <c r="Y70" s="37"/>
      <c r="Z70" s="37"/>
      <c r="AA70" s="37"/>
      <c r="AB70" s="37"/>
      <c r="AC70" s="37"/>
      <c r="AD70" s="37"/>
    </row>
    <row r="71">
      <c r="D71" s="40"/>
      <c r="E71" s="41"/>
      <c r="F71" s="42"/>
      <c r="G71" s="37"/>
      <c r="I71" s="43"/>
      <c r="L71" s="37"/>
      <c r="M71" s="44"/>
      <c r="N71" s="44"/>
      <c r="O71" s="45"/>
      <c r="P71" s="45"/>
      <c r="Q71" s="37"/>
      <c r="R71" s="37"/>
      <c r="S71" s="37"/>
      <c r="T71" s="37"/>
      <c r="U71" s="37"/>
      <c r="V71" s="37"/>
      <c r="W71" s="37"/>
      <c r="X71" s="37"/>
      <c r="Y71" s="37"/>
      <c r="Z71" s="37"/>
      <c r="AA71" s="37"/>
      <c r="AB71" s="37"/>
      <c r="AC71" s="37"/>
      <c r="AD71" s="37"/>
    </row>
    <row r="72">
      <c r="D72" s="40"/>
      <c r="E72" s="41"/>
      <c r="F72" s="42"/>
      <c r="G72" s="37"/>
      <c r="I72" s="43"/>
      <c r="L72" s="37"/>
      <c r="M72" s="44"/>
      <c r="N72" s="44"/>
      <c r="O72" s="45"/>
      <c r="P72" s="45"/>
      <c r="Q72" s="37"/>
      <c r="R72" s="37"/>
      <c r="S72" s="37"/>
      <c r="T72" s="37"/>
      <c r="U72" s="37"/>
      <c r="V72" s="37"/>
      <c r="W72" s="37"/>
      <c r="X72" s="37"/>
      <c r="Y72" s="37"/>
      <c r="Z72" s="37"/>
      <c r="AA72" s="37"/>
      <c r="AB72" s="37"/>
      <c r="AC72" s="37"/>
      <c r="AD72" s="37"/>
    </row>
    <row r="73">
      <c r="D73" s="40"/>
      <c r="E73" s="41"/>
      <c r="F73" s="42"/>
      <c r="G73" s="37"/>
      <c r="I73" s="43"/>
      <c r="L73" s="37"/>
      <c r="M73" s="44"/>
      <c r="N73" s="44"/>
      <c r="O73" s="45"/>
      <c r="P73" s="45"/>
      <c r="Q73" s="37"/>
      <c r="R73" s="37"/>
      <c r="S73" s="37"/>
      <c r="T73" s="37"/>
      <c r="U73" s="37"/>
      <c r="V73" s="37"/>
      <c r="W73" s="37"/>
      <c r="X73" s="37"/>
      <c r="Y73" s="37"/>
      <c r="Z73" s="37"/>
      <c r="AA73" s="37"/>
      <c r="AB73" s="37"/>
      <c r="AC73" s="37"/>
      <c r="AD73" s="37"/>
    </row>
    <row r="74">
      <c r="D74" s="40"/>
      <c r="E74" s="41"/>
      <c r="F74" s="42"/>
      <c r="G74" s="37"/>
      <c r="I74" s="43"/>
      <c r="L74" s="37"/>
      <c r="M74" s="44"/>
      <c r="N74" s="44"/>
      <c r="O74" s="45"/>
      <c r="P74" s="45"/>
      <c r="Q74" s="37"/>
      <c r="R74" s="37"/>
      <c r="S74" s="37"/>
      <c r="T74" s="37"/>
      <c r="U74" s="37"/>
      <c r="V74" s="37"/>
      <c r="W74" s="37"/>
      <c r="X74" s="37"/>
      <c r="Y74" s="37"/>
      <c r="Z74" s="37"/>
      <c r="AA74" s="37"/>
      <c r="AB74" s="37"/>
      <c r="AC74" s="37"/>
      <c r="AD74" s="37"/>
    </row>
  </sheetData>
  <mergeCells count="1">
    <mergeCell ref="M1:N1"/>
  </mergeCells>
  <dataValidations>
    <dataValidation type="list" allowBlank="1" showErrorMessage="1" sqref="G2:G61">
      <formula1>"N/A,Regional,Convergent,Paradox,VMAX"</formula1>
    </dataValidation>
  </dataValidations>
  <drawing r:id="rId1"/>
</worksheet>
</file>